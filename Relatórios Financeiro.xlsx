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cl\Google Drive\2 - Gantt Consultoria\1 - Projeto Udemy\1 - Excel para Finanças - Orçamento e Fluxo de Caixa\Seção 7 - Relatórios Financeiros\"/>
    </mc:Choice>
  </mc:AlternateContent>
  <xr:revisionPtr revIDLastSave="0" documentId="13_ncr:1_{AB7AB06E-F691-4C14-A1B7-CFDCF2A2B57E}" xr6:coauthVersionLast="45" xr6:coauthVersionMax="45" xr10:uidLastSave="{00000000-0000-0000-0000-000000000000}"/>
  <bookViews>
    <workbookView xWindow="-120" yWindow="-120" windowWidth="20640" windowHeight="11160" firstSheet="6" activeTab="7" xr2:uid="{F8DAABD5-C22C-419B-8ABF-4D63E90647C0}"/>
  </bookViews>
  <sheets>
    <sheet name="Plano de Contas" sheetId="1" r:id="rId1"/>
    <sheet name="Premissas" sheetId="2" r:id="rId2"/>
    <sheet name="Receitas" sheetId="4" r:id="rId3"/>
    <sheet name="Fluxo_Projetado" sheetId="5" r:id="rId4"/>
    <sheet name="Fluxo_Diário" sheetId="6" r:id="rId5"/>
    <sheet name="Fluxo_Diário_DB" sheetId="7" r:id="rId6"/>
    <sheet name="Fluxo_Realizado" sheetId="8" r:id="rId7"/>
    <sheet name="Relatório_RealxProj" sheetId="9" r:id="rId8"/>
  </sheets>
  <definedNames>
    <definedName name="_xlnm._FilterDatabase" localSheetId="4" hidden="1">Fluxo_Diário!$A$8:$Z$128</definedName>
    <definedName name="_xlnm._FilterDatabase" localSheetId="5" hidden="1">Fluxo_Diário_DB!$B$2:$H$369</definedName>
    <definedName name="_xlnm.Print_Area" localSheetId="7">Relatório_RealxProj!$A$1:$K$55</definedName>
    <definedName name="Contas">'Plano de Contas'!$B$4:$B$52</definedName>
    <definedName name="Documentos">'Plano de Contas'!$E$4:$E$9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3" i="9" l="1"/>
  <c r="U52" i="9"/>
  <c r="U37" i="9"/>
  <c r="U36" i="9"/>
  <c r="M39" i="9"/>
  <c r="M23" i="9"/>
  <c r="U21" i="9"/>
  <c r="U20" i="9"/>
  <c r="U22" i="9" s="1"/>
  <c r="M6" i="9"/>
  <c r="U54" i="9" l="1"/>
  <c r="U38" i="9"/>
  <c r="J53" i="9"/>
  <c r="J52" i="9"/>
  <c r="J37" i="9"/>
  <c r="J36" i="9"/>
  <c r="J21" i="9"/>
  <c r="J22" i="9" s="1"/>
  <c r="J20" i="9"/>
  <c r="J54" i="9" l="1"/>
  <c r="J38" i="9"/>
  <c r="W33" i="7"/>
  <c r="V33" i="7"/>
  <c r="U33" i="7"/>
  <c r="T33" i="7"/>
  <c r="S33" i="7"/>
  <c r="R33" i="7"/>
  <c r="Q33" i="7"/>
  <c r="P33" i="7"/>
  <c r="O33" i="7"/>
  <c r="N33" i="7"/>
  <c r="M33" i="7"/>
  <c r="L33" i="7"/>
  <c r="W31" i="7"/>
  <c r="V31" i="7"/>
  <c r="U31" i="7"/>
  <c r="T31" i="7"/>
  <c r="S31" i="7"/>
  <c r="R31" i="7"/>
  <c r="Q31" i="7"/>
  <c r="P31" i="7"/>
  <c r="O31" i="7"/>
  <c r="N31" i="7"/>
  <c r="M31" i="7"/>
  <c r="L31" i="7"/>
  <c r="M28" i="7"/>
  <c r="N28" i="7"/>
  <c r="O28" i="7"/>
  <c r="P28" i="7"/>
  <c r="Q28" i="7"/>
  <c r="R28" i="7"/>
  <c r="S28" i="7"/>
  <c r="T28" i="7"/>
  <c r="U28" i="7"/>
  <c r="V28" i="7"/>
  <c r="W28" i="7"/>
  <c r="L28" i="7"/>
  <c r="W26" i="7"/>
  <c r="V26" i="7"/>
  <c r="U26" i="7"/>
  <c r="T26" i="7"/>
  <c r="S26" i="7"/>
  <c r="R26" i="7"/>
  <c r="Q26" i="7"/>
  <c r="P26" i="7"/>
  <c r="O26" i="7"/>
  <c r="N26" i="7"/>
  <c r="M26" i="7"/>
  <c r="L26" i="7"/>
  <c r="M23" i="7"/>
  <c r="N23" i="7"/>
  <c r="O23" i="7"/>
  <c r="P23" i="7"/>
  <c r="Q23" i="7"/>
  <c r="R23" i="7"/>
  <c r="S23" i="7"/>
  <c r="T23" i="7"/>
  <c r="U23" i="7"/>
  <c r="V23" i="7"/>
  <c r="W23" i="7"/>
  <c r="L23" i="7"/>
  <c r="M21" i="7"/>
  <c r="N21" i="7"/>
  <c r="O21" i="7"/>
  <c r="P21" i="7"/>
  <c r="Q21" i="7"/>
  <c r="R21" i="7"/>
  <c r="S21" i="7"/>
  <c r="T21" i="7"/>
  <c r="U21" i="7"/>
  <c r="V21" i="7"/>
  <c r="W21" i="7"/>
  <c r="L21" i="7"/>
  <c r="M17" i="7"/>
  <c r="N17" i="7"/>
  <c r="O17" i="7"/>
  <c r="P17" i="7"/>
  <c r="P19" i="7" s="1"/>
  <c r="Q17" i="7"/>
  <c r="R17" i="7"/>
  <c r="S17" i="7"/>
  <c r="T17" i="7"/>
  <c r="T19" i="7" s="1"/>
  <c r="U17" i="7"/>
  <c r="V17" i="7"/>
  <c r="W17" i="7"/>
  <c r="L17" i="7"/>
  <c r="M15" i="7"/>
  <c r="N15" i="7"/>
  <c r="O15" i="7"/>
  <c r="O19" i="7" s="1"/>
  <c r="P15" i="7"/>
  <c r="Q15" i="7"/>
  <c r="R15" i="7"/>
  <c r="S15" i="7"/>
  <c r="S19" i="7" s="1"/>
  <c r="T15" i="7"/>
  <c r="U15" i="7"/>
  <c r="V15" i="7"/>
  <c r="W15" i="7"/>
  <c r="W19" i="7" s="1"/>
  <c r="L15" i="7"/>
  <c r="L16" i="7" s="1"/>
  <c r="V19" i="7"/>
  <c r="U19" i="7"/>
  <c r="R19" i="7"/>
  <c r="Q19" i="7"/>
  <c r="N19" i="7"/>
  <c r="M19" i="7"/>
  <c r="M11" i="7"/>
  <c r="N11" i="7"/>
  <c r="O11" i="7"/>
  <c r="P11" i="7"/>
  <c r="Q11" i="7"/>
  <c r="R11" i="7"/>
  <c r="S11" i="7"/>
  <c r="T11" i="7"/>
  <c r="U11" i="7"/>
  <c r="V11" i="7"/>
  <c r="W11" i="7"/>
  <c r="L11" i="7"/>
  <c r="M9" i="7"/>
  <c r="N9" i="7"/>
  <c r="O9" i="7"/>
  <c r="P9" i="7"/>
  <c r="Q9" i="7"/>
  <c r="R9" i="7"/>
  <c r="S9" i="7"/>
  <c r="T9" i="7"/>
  <c r="U9" i="7"/>
  <c r="V9" i="7"/>
  <c r="W9" i="7"/>
  <c r="L9" i="7"/>
  <c r="L10" i="7" s="1"/>
  <c r="W13" i="7"/>
  <c r="V13" i="7"/>
  <c r="U13" i="7"/>
  <c r="S13" i="7"/>
  <c r="R13" i="7"/>
  <c r="Q13" i="7"/>
  <c r="O13" i="7"/>
  <c r="N13" i="7"/>
  <c r="M13" i="7"/>
  <c r="M7" i="7"/>
  <c r="N7" i="7"/>
  <c r="O7" i="7"/>
  <c r="P7" i="7"/>
  <c r="Q7" i="7"/>
  <c r="R7" i="7"/>
  <c r="S7" i="7"/>
  <c r="T7" i="7"/>
  <c r="U7" i="7"/>
  <c r="V7" i="7"/>
  <c r="W7" i="7"/>
  <c r="L7" i="7"/>
  <c r="L6" i="7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M5" i="7"/>
  <c r="N5" i="7"/>
  <c r="O5" i="7"/>
  <c r="P5" i="7"/>
  <c r="Q5" i="7"/>
  <c r="R5" i="7"/>
  <c r="S5" i="7"/>
  <c r="T5" i="7"/>
  <c r="U5" i="7"/>
  <c r="V5" i="7"/>
  <c r="W5" i="7"/>
  <c r="L5" i="7"/>
  <c r="P3" i="7"/>
  <c r="Q3" i="7"/>
  <c r="R3" i="7"/>
  <c r="S3" i="7"/>
  <c r="T3" i="7"/>
  <c r="U3" i="7"/>
  <c r="V3" i="7"/>
  <c r="W3" i="7"/>
  <c r="M3" i="7"/>
  <c r="N3" i="7"/>
  <c r="O3" i="7"/>
  <c r="L3" i="7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L19" i="7" l="1"/>
  <c r="M16" i="7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L18" i="7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P13" i="7"/>
  <c r="L13" i="7"/>
  <c r="M10" i="7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T13" i="7"/>
  <c r="L12" i="7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O68" i="8"/>
  <c r="H68" i="8"/>
  <c r="I68" i="8"/>
  <c r="J68" i="8"/>
  <c r="K68" i="8"/>
  <c r="L68" i="8"/>
  <c r="M68" i="8"/>
  <c r="N68" i="8"/>
  <c r="D68" i="8"/>
  <c r="E68" i="8"/>
  <c r="F68" i="8"/>
  <c r="G68" i="8"/>
  <c r="C68" i="8"/>
  <c r="D47" i="8"/>
  <c r="E47" i="8"/>
  <c r="F47" i="8"/>
  <c r="G47" i="8"/>
  <c r="H47" i="8"/>
  <c r="I47" i="8"/>
  <c r="J47" i="8"/>
  <c r="K47" i="8"/>
  <c r="L47" i="8"/>
  <c r="M47" i="8"/>
  <c r="N47" i="8"/>
  <c r="O47" i="8"/>
  <c r="O46" i="8" s="1"/>
  <c r="O60" i="8" s="1"/>
  <c r="C47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D43" i="8"/>
  <c r="E43" i="8"/>
  <c r="F43" i="8"/>
  <c r="G43" i="8"/>
  <c r="H43" i="8"/>
  <c r="I43" i="8"/>
  <c r="J43" i="8"/>
  <c r="K43" i="8"/>
  <c r="L43" i="8"/>
  <c r="M43" i="8"/>
  <c r="N43" i="8"/>
  <c r="O43" i="8"/>
  <c r="C43" i="8"/>
  <c r="C42" i="8" s="1"/>
  <c r="C59" i="8" s="1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D40" i="8"/>
  <c r="E40" i="8"/>
  <c r="E39" i="8" s="1"/>
  <c r="E58" i="8" s="1"/>
  <c r="F40" i="8"/>
  <c r="G40" i="8"/>
  <c r="G39" i="8" s="1"/>
  <c r="G58" i="8" s="1"/>
  <c r="H40" i="8"/>
  <c r="H39" i="8" s="1"/>
  <c r="H58" i="8" s="1"/>
  <c r="I40" i="8"/>
  <c r="I39" i="8" s="1"/>
  <c r="I58" i="8" s="1"/>
  <c r="J40" i="8"/>
  <c r="J39" i="8" s="1"/>
  <c r="J58" i="8" s="1"/>
  <c r="K40" i="8"/>
  <c r="K39" i="8" s="1"/>
  <c r="K58" i="8" s="1"/>
  <c r="L40" i="8"/>
  <c r="L39" i="8" s="1"/>
  <c r="L58" i="8" s="1"/>
  <c r="M40" i="8"/>
  <c r="M39" i="8" s="1"/>
  <c r="M58" i="8" s="1"/>
  <c r="N40" i="8"/>
  <c r="O40" i="8"/>
  <c r="O39" i="8" s="1"/>
  <c r="O58" i="8" s="1"/>
  <c r="C40" i="8"/>
  <c r="O34" i="8"/>
  <c r="O35" i="8"/>
  <c r="O36" i="8"/>
  <c r="O37" i="8"/>
  <c r="O38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6" i="8"/>
  <c r="O7" i="8"/>
  <c r="O8" i="8"/>
  <c r="O9" i="8"/>
  <c r="O10" i="8"/>
  <c r="C35" i="8"/>
  <c r="D35" i="8"/>
  <c r="E35" i="8"/>
  <c r="F35" i="8"/>
  <c r="G35" i="8"/>
  <c r="H35" i="8"/>
  <c r="I35" i="8"/>
  <c r="J35" i="8"/>
  <c r="K35" i="8"/>
  <c r="L35" i="8"/>
  <c r="M35" i="8"/>
  <c r="N35" i="8"/>
  <c r="C13" i="8"/>
  <c r="D13" i="8"/>
  <c r="E13" i="8"/>
  <c r="F13" i="8"/>
  <c r="G13" i="8"/>
  <c r="H13" i="8"/>
  <c r="I13" i="8"/>
  <c r="J13" i="8"/>
  <c r="K13" i="8"/>
  <c r="L13" i="8"/>
  <c r="M13" i="8"/>
  <c r="N13" i="8"/>
  <c r="C15" i="8"/>
  <c r="D15" i="8"/>
  <c r="E15" i="8"/>
  <c r="F15" i="8"/>
  <c r="G15" i="8"/>
  <c r="H15" i="8"/>
  <c r="I15" i="8"/>
  <c r="J15" i="8"/>
  <c r="K15" i="8"/>
  <c r="L15" i="8"/>
  <c r="M15" i="8"/>
  <c r="N15" i="8"/>
  <c r="C8" i="8"/>
  <c r="D8" i="8"/>
  <c r="E8" i="8"/>
  <c r="F8" i="8"/>
  <c r="G8" i="8"/>
  <c r="H8" i="8"/>
  <c r="I8" i="8"/>
  <c r="J8" i="8"/>
  <c r="K8" i="8"/>
  <c r="L8" i="8"/>
  <c r="M8" i="8"/>
  <c r="N8" i="8"/>
  <c r="C10" i="8"/>
  <c r="D10" i="8"/>
  <c r="E10" i="8"/>
  <c r="F10" i="8"/>
  <c r="G10" i="8"/>
  <c r="H10" i="8"/>
  <c r="I10" i="8"/>
  <c r="J10" i="8"/>
  <c r="K10" i="8"/>
  <c r="L10" i="8"/>
  <c r="M10" i="8"/>
  <c r="N10" i="8"/>
  <c r="B61" i="8"/>
  <c r="C54" i="8"/>
  <c r="B52" i="8"/>
  <c r="B51" i="8"/>
  <c r="B50" i="8"/>
  <c r="B49" i="8"/>
  <c r="B48" i="8"/>
  <c r="B47" i="8"/>
  <c r="B46" i="8"/>
  <c r="B60" i="8" s="1"/>
  <c r="B45" i="8"/>
  <c r="B44" i="8"/>
  <c r="B43" i="8"/>
  <c r="B42" i="8"/>
  <c r="B59" i="8" s="1"/>
  <c r="B41" i="8"/>
  <c r="B40" i="8"/>
  <c r="D39" i="8"/>
  <c r="D58" i="8" s="1"/>
  <c r="B39" i="8"/>
  <c r="B58" i="8" s="1"/>
  <c r="B38" i="8"/>
  <c r="B37" i="8"/>
  <c r="B36" i="8"/>
  <c r="B35" i="8"/>
  <c r="B34" i="8"/>
  <c r="B33" i="8"/>
  <c r="B57" i="8" s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56" i="8" s="1"/>
  <c r="B10" i="8"/>
  <c r="B9" i="8"/>
  <c r="B8" i="8"/>
  <c r="B7" i="8"/>
  <c r="B6" i="8"/>
  <c r="B5" i="8"/>
  <c r="B55" i="8" s="1"/>
  <c r="O42" i="8" l="1"/>
  <c r="O59" i="8" s="1"/>
  <c r="K42" i="8"/>
  <c r="K59" i="8" s="1"/>
  <c r="G42" i="8"/>
  <c r="G59" i="8" s="1"/>
  <c r="G65" i="8" s="1"/>
  <c r="M42" i="8"/>
  <c r="M59" i="8" s="1"/>
  <c r="M65" i="8" s="1"/>
  <c r="I42" i="8"/>
  <c r="I59" i="8" s="1"/>
  <c r="E42" i="8"/>
  <c r="E59" i="8" s="1"/>
  <c r="O11" i="8"/>
  <c r="O56" i="8" s="1"/>
  <c r="C39" i="8"/>
  <c r="C58" i="8" s="1"/>
  <c r="C65" i="8" s="1"/>
  <c r="N39" i="8"/>
  <c r="N58" i="8" s="1"/>
  <c r="P41" i="8"/>
  <c r="Q41" i="8" s="1"/>
  <c r="L42" i="8"/>
  <c r="L59" i="8" s="1"/>
  <c r="L65" i="8" s="1"/>
  <c r="H42" i="8"/>
  <c r="H59" i="8" s="1"/>
  <c r="H65" i="8" s="1"/>
  <c r="D42" i="8"/>
  <c r="D59" i="8" s="1"/>
  <c r="D65" i="8" s="1"/>
  <c r="P13" i="8"/>
  <c r="Q13" i="8" s="1"/>
  <c r="N42" i="8"/>
  <c r="N59" i="8" s="1"/>
  <c r="J42" i="8"/>
  <c r="J59" i="8" s="1"/>
  <c r="J65" i="8" s="1"/>
  <c r="P44" i="8"/>
  <c r="Q44" i="8" s="1"/>
  <c r="P47" i="8"/>
  <c r="Q47" i="8" s="1"/>
  <c r="P45" i="8"/>
  <c r="Q45" i="8" s="1"/>
  <c r="I65" i="8"/>
  <c r="F42" i="8"/>
  <c r="F59" i="8" s="1"/>
  <c r="E65" i="8"/>
  <c r="O65" i="8"/>
  <c r="P43" i="8"/>
  <c r="Q43" i="8" s="1"/>
  <c r="F39" i="8"/>
  <c r="F58" i="8" s="1"/>
  <c r="P35" i="8"/>
  <c r="Q35" i="8" s="1"/>
  <c r="O5" i="8"/>
  <c r="O55" i="8" s="1"/>
  <c r="P15" i="8"/>
  <c r="Q15" i="8" s="1"/>
  <c r="O33" i="8"/>
  <c r="O57" i="8" s="1"/>
  <c r="P40" i="8"/>
  <c r="Q40" i="8" s="1"/>
  <c r="P10" i="8"/>
  <c r="Q10" i="8" s="1"/>
  <c r="P8" i="8"/>
  <c r="Q8" i="8" s="1"/>
  <c r="K65" i="8"/>
  <c r="R31" i="6"/>
  <c r="R35" i="6"/>
  <c r="R39" i="6"/>
  <c r="R43" i="6"/>
  <c r="R47" i="6"/>
  <c r="R51" i="6"/>
  <c r="R55" i="6"/>
  <c r="R59" i="6"/>
  <c r="R63" i="6"/>
  <c r="R67" i="6"/>
  <c r="R71" i="6"/>
  <c r="R75" i="6"/>
  <c r="R79" i="6"/>
  <c r="R83" i="6"/>
  <c r="R87" i="6"/>
  <c r="R91" i="6"/>
  <c r="R95" i="6"/>
  <c r="R99" i="6"/>
  <c r="R103" i="6"/>
  <c r="O107" i="6"/>
  <c r="O111" i="6"/>
  <c r="O115" i="6"/>
  <c r="O119" i="6"/>
  <c r="O123" i="6"/>
  <c r="O127" i="6"/>
  <c r="O27" i="6"/>
  <c r="Z27" i="6"/>
  <c r="O28" i="6"/>
  <c r="P28" i="6"/>
  <c r="Q28" i="6"/>
  <c r="R28" i="6"/>
  <c r="S28" i="6"/>
  <c r="T28" i="6"/>
  <c r="U28" i="6"/>
  <c r="V28" i="6"/>
  <c r="W28" i="6"/>
  <c r="X28" i="6"/>
  <c r="Y28" i="6"/>
  <c r="Z28" i="6"/>
  <c r="O29" i="6"/>
  <c r="P29" i="6"/>
  <c r="Q29" i="6"/>
  <c r="R29" i="6"/>
  <c r="S29" i="6"/>
  <c r="T29" i="6"/>
  <c r="U29" i="6"/>
  <c r="V29" i="6"/>
  <c r="W29" i="6"/>
  <c r="X29" i="6"/>
  <c r="Y29" i="6"/>
  <c r="Z29" i="6"/>
  <c r="O30" i="6"/>
  <c r="P30" i="6"/>
  <c r="Q30" i="6"/>
  <c r="R30" i="6"/>
  <c r="S30" i="6"/>
  <c r="T30" i="6"/>
  <c r="U30" i="6"/>
  <c r="V30" i="6"/>
  <c r="W30" i="6"/>
  <c r="X30" i="6"/>
  <c r="Y30" i="6"/>
  <c r="Z30" i="6"/>
  <c r="O32" i="6"/>
  <c r="P32" i="6"/>
  <c r="Q32" i="6"/>
  <c r="R32" i="6"/>
  <c r="S32" i="6"/>
  <c r="T32" i="6"/>
  <c r="U32" i="6"/>
  <c r="V32" i="6"/>
  <c r="W32" i="6"/>
  <c r="X32" i="6"/>
  <c r="Y32" i="6"/>
  <c r="Z32" i="6"/>
  <c r="O33" i="6"/>
  <c r="P33" i="6"/>
  <c r="Q33" i="6"/>
  <c r="R33" i="6"/>
  <c r="S33" i="6"/>
  <c r="T33" i="6"/>
  <c r="U33" i="6"/>
  <c r="V33" i="6"/>
  <c r="W33" i="6"/>
  <c r="X33" i="6"/>
  <c r="Y33" i="6"/>
  <c r="Z33" i="6"/>
  <c r="O34" i="6"/>
  <c r="P34" i="6"/>
  <c r="Q34" i="6"/>
  <c r="R34" i="6"/>
  <c r="S34" i="6"/>
  <c r="T34" i="6"/>
  <c r="U34" i="6"/>
  <c r="V34" i="6"/>
  <c r="W34" i="6"/>
  <c r="X34" i="6"/>
  <c r="Y34" i="6"/>
  <c r="Z34" i="6"/>
  <c r="Q35" i="6"/>
  <c r="O36" i="6"/>
  <c r="P36" i="6"/>
  <c r="Q36" i="6"/>
  <c r="R36" i="6"/>
  <c r="S36" i="6"/>
  <c r="T36" i="6"/>
  <c r="U36" i="6"/>
  <c r="V36" i="6"/>
  <c r="W36" i="6"/>
  <c r="X36" i="6"/>
  <c r="Y36" i="6"/>
  <c r="Z36" i="6"/>
  <c r="O37" i="6"/>
  <c r="C36" i="8" s="1"/>
  <c r="P37" i="6"/>
  <c r="D36" i="8" s="1"/>
  <c r="Q37" i="6"/>
  <c r="R37" i="6"/>
  <c r="S37" i="6"/>
  <c r="G36" i="8" s="1"/>
  <c r="T37" i="6"/>
  <c r="H36" i="8" s="1"/>
  <c r="U37" i="6"/>
  <c r="V37" i="6"/>
  <c r="W37" i="6"/>
  <c r="K36" i="8" s="1"/>
  <c r="X37" i="6"/>
  <c r="L36" i="8" s="1"/>
  <c r="Y37" i="6"/>
  <c r="Z37" i="6"/>
  <c r="O38" i="6"/>
  <c r="P38" i="6"/>
  <c r="Q38" i="6"/>
  <c r="R38" i="6"/>
  <c r="S38" i="6"/>
  <c r="T38" i="6"/>
  <c r="U38" i="6"/>
  <c r="V38" i="6"/>
  <c r="W38" i="6"/>
  <c r="X38" i="6"/>
  <c r="Y38" i="6"/>
  <c r="Z38" i="6"/>
  <c r="U39" i="6"/>
  <c r="O40" i="6"/>
  <c r="P40" i="6"/>
  <c r="Q40" i="6"/>
  <c r="R40" i="6"/>
  <c r="S40" i="6"/>
  <c r="T40" i="6"/>
  <c r="U40" i="6"/>
  <c r="V40" i="6"/>
  <c r="W40" i="6"/>
  <c r="X40" i="6"/>
  <c r="Y40" i="6"/>
  <c r="Z40" i="6"/>
  <c r="O41" i="6"/>
  <c r="P41" i="6"/>
  <c r="Q41" i="6"/>
  <c r="R41" i="6"/>
  <c r="S41" i="6"/>
  <c r="T41" i="6"/>
  <c r="U41" i="6"/>
  <c r="V41" i="6"/>
  <c r="W41" i="6"/>
  <c r="X41" i="6"/>
  <c r="Y41" i="6"/>
  <c r="Z41" i="6"/>
  <c r="O42" i="6"/>
  <c r="P42" i="6"/>
  <c r="Q42" i="6"/>
  <c r="R42" i="6"/>
  <c r="S42" i="6"/>
  <c r="T42" i="6"/>
  <c r="U42" i="6"/>
  <c r="V42" i="6"/>
  <c r="W42" i="6"/>
  <c r="X42" i="6"/>
  <c r="Y42" i="6"/>
  <c r="Z42" i="6"/>
  <c r="Y43" i="6"/>
  <c r="O44" i="6"/>
  <c r="P44" i="6"/>
  <c r="Q44" i="6"/>
  <c r="R44" i="6"/>
  <c r="S44" i="6"/>
  <c r="T44" i="6"/>
  <c r="U44" i="6"/>
  <c r="V44" i="6"/>
  <c r="W44" i="6"/>
  <c r="X44" i="6"/>
  <c r="Y44" i="6"/>
  <c r="Z44" i="6"/>
  <c r="O45" i="6"/>
  <c r="P45" i="6"/>
  <c r="Q45" i="6"/>
  <c r="R45" i="6"/>
  <c r="S45" i="6"/>
  <c r="T45" i="6"/>
  <c r="U45" i="6"/>
  <c r="V45" i="6"/>
  <c r="W45" i="6"/>
  <c r="X45" i="6"/>
  <c r="Y45" i="6"/>
  <c r="Z45" i="6"/>
  <c r="O46" i="6"/>
  <c r="P46" i="6"/>
  <c r="Q46" i="6"/>
  <c r="R46" i="6"/>
  <c r="S46" i="6"/>
  <c r="T46" i="6"/>
  <c r="U46" i="6"/>
  <c r="V46" i="6"/>
  <c r="W46" i="6"/>
  <c r="X46" i="6"/>
  <c r="Y46" i="6"/>
  <c r="Z46" i="6"/>
  <c r="O48" i="6"/>
  <c r="P48" i="6"/>
  <c r="Q48" i="6"/>
  <c r="R48" i="6"/>
  <c r="S48" i="6"/>
  <c r="T48" i="6"/>
  <c r="U48" i="6"/>
  <c r="V48" i="6"/>
  <c r="W48" i="6"/>
  <c r="X48" i="6"/>
  <c r="Y48" i="6"/>
  <c r="Z48" i="6"/>
  <c r="O49" i="6"/>
  <c r="P49" i="6"/>
  <c r="Q49" i="6"/>
  <c r="R49" i="6"/>
  <c r="S49" i="6"/>
  <c r="T49" i="6"/>
  <c r="U49" i="6"/>
  <c r="V49" i="6"/>
  <c r="W49" i="6"/>
  <c r="X49" i="6"/>
  <c r="Y49" i="6"/>
  <c r="Z49" i="6"/>
  <c r="O50" i="6"/>
  <c r="P50" i="6"/>
  <c r="Q50" i="6"/>
  <c r="R50" i="6"/>
  <c r="S50" i="6"/>
  <c r="T50" i="6"/>
  <c r="U50" i="6"/>
  <c r="V50" i="6"/>
  <c r="W50" i="6"/>
  <c r="X50" i="6"/>
  <c r="Y50" i="6"/>
  <c r="Z50" i="6"/>
  <c r="Q51" i="6"/>
  <c r="O52" i="6"/>
  <c r="P52" i="6"/>
  <c r="Q52" i="6"/>
  <c r="R52" i="6"/>
  <c r="S52" i="6"/>
  <c r="T52" i="6"/>
  <c r="U52" i="6"/>
  <c r="V52" i="6"/>
  <c r="W52" i="6"/>
  <c r="X52" i="6"/>
  <c r="Y52" i="6"/>
  <c r="Z52" i="6"/>
  <c r="O53" i="6"/>
  <c r="P53" i="6"/>
  <c r="Q53" i="6"/>
  <c r="R53" i="6"/>
  <c r="S53" i="6"/>
  <c r="T53" i="6"/>
  <c r="U53" i="6"/>
  <c r="V53" i="6"/>
  <c r="W53" i="6"/>
  <c r="X53" i="6"/>
  <c r="Y53" i="6"/>
  <c r="Z53" i="6"/>
  <c r="O54" i="6"/>
  <c r="P54" i="6"/>
  <c r="Q54" i="6"/>
  <c r="R54" i="6"/>
  <c r="S54" i="6"/>
  <c r="T54" i="6"/>
  <c r="U54" i="6"/>
  <c r="V54" i="6"/>
  <c r="W54" i="6"/>
  <c r="X54" i="6"/>
  <c r="Y54" i="6"/>
  <c r="Z54" i="6"/>
  <c r="U55" i="6"/>
  <c r="O56" i="6"/>
  <c r="P56" i="6"/>
  <c r="Q56" i="6"/>
  <c r="R56" i="6"/>
  <c r="S56" i="6"/>
  <c r="T56" i="6"/>
  <c r="U56" i="6"/>
  <c r="V56" i="6"/>
  <c r="W56" i="6"/>
  <c r="X56" i="6"/>
  <c r="Y56" i="6"/>
  <c r="Z56" i="6"/>
  <c r="O57" i="6"/>
  <c r="P57" i="6"/>
  <c r="Q57" i="6"/>
  <c r="R57" i="6"/>
  <c r="S57" i="6"/>
  <c r="T57" i="6"/>
  <c r="U57" i="6"/>
  <c r="V57" i="6"/>
  <c r="W57" i="6"/>
  <c r="X57" i="6"/>
  <c r="Y57" i="6"/>
  <c r="Z57" i="6"/>
  <c r="O58" i="6"/>
  <c r="P58" i="6"/>
  <c r="Q58" i="6"/>
  <c r="R58" i="6"/>
  <c r="S58" i="6"/>
  <c r="T58" i="6"/>
  <c r="U58" i="6"/>
  <c r="V58" i="6"/>
  <c r="W58" i="6"/>
  <c r="X58" i="6"/>
  <c r="Y58" i="6"/>
  <c r="Z58" i="6"/>
  <c r="Y59" i="6"/>
  <c r="O60" i="6"/>
  <c r="P60" i="6"/>
  <c r="Q60" i="6"/>
  <c r="R60" i="6"/>
  <c r="S60" i="6"/>
  <c r="T60" i="6"/>
  <c r="U60" i="6"/>
  <c r="V60" i="6"/>
  <c r="W60" i="6"/>
  <c r="X60" i="6"/>
  <c r="Y60" i="6"/>
  <c r="Z60" i="6"/>
  <c r="O61" i="6"/>
  <c r="P61" i="6"/>
  <c r="Q61" i="6"/>
  <c r="R61" i="6"/>
  <c r="S61" i="6"/>
  <c r="T61" i="6"/>
  <c r="U61" i="6"/>
  <c r="V61" i="6"/>
  <c r="W61" i="6"/>
  <c r="X61" i="6"/>
  <c r="Y61" i="6"/>
  <c r="Z61" i="6"/>
  <c r="O62" i="6"/>
  <c r="P62" i="6"/>
  <c r="Q62" i="6"/>
  <c r="R62" i="6"/>
  <c r="S62" i="6"/>
  <c r="T62" i="6"/>
  <c r="U62" i="6"/>
  <c r="V62" i="6"/>
  <c r="W62" i="6"/>
  <c r="X62" i="6"/>
  <c r="Y62" i="6"/>
  <c r="Z62" i="6"/>
  <c r="O64" i="6"/>
  <c r="P64" i="6"/>
  <c r="Q64" i="6"/>
  <c r="R64" i="6"/>
  <c r="S64" i="6"/>
  <c r="T64" i="6"/>
  <c r="U64" i="6"/>
  <c r="V64" i="6"/>
  <c r="W64" i="6"/>
  <c r="X64" i="6"/>
  <c r="Y64" i="6"/>
  <c r="Z64" i="6"/>
  <c r="O65" i="6"/>
  <c r="P65" i="6"/>
  <c r="Q65" i="6"/>
  <c r="R65" i="6"/>
  <c r="S65" i="6"/>
  <c r="T65" i="6"/>
  <c r="U65" i="6"/>
  <c r="V65" i="6"/>
  <c r="W65" i="6"/>
  <c r="X65" i="6"/>
  <c r="Y65" i="6"/>
  <c r="Z65" i="6"/>
  <c r="O66" i="6"/>
  <c r="P66" i="6"/>
  <c r="Q66" i="6"/>
  <c r="R66" i="6"/>
  <c r="S66" i="6"/>
  <c r="T66" i="6"/>
  <c r="U66" i="6"/>
  <c r="V66" i="6"/>
  <c r="W66" i="6"/>
  <c r="X66" i="6"/>
  <c r="Y66" i="6"/>
  <c r="Z66" i="6"/>
  <c r="Q67" i="6"/>
  <c r="O68" i="6"/>
  <c r="P68" i="6"/>
  <c r="Q68" i="6"/>
  <c r="R68" i="6"/>
  <c r="S68" i="6"/>
  <c r="T68" i="6"/>
  <c r="U68" i="6"/>
  <c r="V68" i="6"/>
  <c r="W68" i="6"/>
  <c r="X68" i="6"/>
  <c r="Y68" i="6"/>
  <c r="Z68" i="6"/>
  <c r="O69" i="6"/>
  <c r="P69" i="6"/>
  <c r="Q69" i="6"/>
  <c r="R69" i="6"/>
  <c r="S69" i="6"/>
  <c r="T69" i="6"/>
  <c r="U69" i="6"/>
  <c r="V69" i="6"/>
  <c r="W69" i="6"/>
  <c r="X69" i="6"/>
  <c r="Y69" i="6"/>
  <c r="Z69" i="6"/>
  <c r="O70" i="6"/>
  <c r="P70" i="6"/>
  <c r="Q70" i="6"/>
  <c r="R70" i="6"/>
  <c r="S70" i="6"/>
  <c r="T70" i="6"/>
  <c r="U70" i="6"/>
  <c r="V70" i="6"/>
  <c r="W70" i="6"/>
  <c r="X70" i="6"/>
  <c r="Y70" i="6"/>
  <c r="Z70" i="6"/>
  <c r="U71" i="6"/>
  <c r="O72" i="6"/>
  <c r="P72" i="6"/>
  <c r="Q72" i="6"/>
  <c r="R72" i="6"/>
  <c r="S72" i="6"/>
  <c r="T72" i="6"/>
  <c r="U72" i="6"/>
  <c r="V72" i="6"/>
  <c r="W72" i="6"/>
  <c r="X72" i="6"/>
  <c r="Y72" i="6"/>
  <c r="Z72" i="6"/>
  <c r="O73" i="6"/>
  <c r="P73" i="6"/>
  <c r="Q73" i="6"/>
  <c r="R73" i="6"/>
  <c r="S73" i="6"/>
  <c r="T73" i="6"/>
  <c r="U73" i="6"/>
  <c r="V73" i="6"/>
  <c r="W73" i="6"/>
  <c r="X73" i="6"/>
  <c r="Y73" i="6"/>
  <c r="Z73" i="6"/>
  <c r="O74" i="6"/>
  <c r="P74" i="6"/>
  <c r="Q74" i="6"/>
  <c r="R74" i="6"/>
  <c r="S74" i="6"/>
  <c r="T74" i="6"/>
  <c r="U74" i="6"/>
  <c r="V74" i="6"/>
  <c r="W74" i="6"/>
  <c r="X74" i="6"/>
  <c r="Y74" i="6"/>
  <c r="Z74" i="6"/>
  <c r="Y75" i="6"/>
  <c r="O76" i="6"/>
  <c r="P76" i="6"/>
  <c r="Q76" i="6"/>
  <c r="R76" i="6"/>
  <c r="S76" i="6"/>
  <c r="T76" i="6"/>
  <c r="U76" i="6"/>
  <c r="V76" i="6"/>
  <c r="W76" i="6"/>
  <c r="X76" i="6"/>
  <c r="Y76" i="6"/>
  <c r="Z76" i="6"/>
  <c r="O77" i="6"/>
  <c r="P77" i="6"/>
  <c r="Q77" i="6"/>
  <c r="R77" i="6"/>
  <c r="S77" i="6"/>
  <c r="T77" i="6"/>
  <c r="U77" i="6"/>
  <c r="V77" i="6"/>
  <c r="W77" i="6"/>
  <c r="X77" i="6"/>
  <c r="Y77" i="6"/>
  <c r="Z77" i="6"/>
  <c r="O78" i="6"/>
  <c r="P78" i="6"/>
  <c r="Q78" i="6"/>
  <c r="R78" i="6"/>
  <c r="S78" i="6"/>
  <c r="T78" i="6"/>
  <c r="U78" i="6"/>
  <c r="V78" i="6"/>
  <c r="W78" i="6"/>
  <c r="X78" i="6"/>
  <c r="Y78" i="6"/>
  <c r="Z78" i="6"/>
  <c r="O80" i="6"/>
  <c r="P80" i="6"/>
  <c r="Q80" i="6"/>
  <c r="R80" i="6"/>
  <c r="S80" i="6"/>
  <c r="T80" i="6"/>
  <c r="U80" i="6"/>
  <c r="V80" i="6"/>
  <c r="W80" i="6"/>
  <c r="X80" i="6"/>
  <c r="Y80" i="6"/>
  <c r="Z80" i="6"/>
  <c r="O81" i="6"/>
  <c r="P81" i="6"/>
  <c r="Q81" i="6"/>
  <c r="R81" i="6"/>
  <c r="S81" i="6"/>
  <c r="T81" i="6"/>
  <c r="U81" i="6"/>
  <c r="V81" i="6"/>
  <c r="W81" i="6"/>
  <c r="X81" i="6"/>
  <c r="Y81" i="6"/>
  <c r="Z81" i="6"/>
  <c r="O82" i="6"/>
  <c r="P82" i="6"/>
  <c r="Q82" i="6"/>
  <c r="R82" i="6"/>
  <c r="S82" i="6"/>
  <c r="T82" i="6"/>
  <c r="U82" i="6"/>
  <c r="V82" i="6"/>
  <c r="W82" i="6"/>
  <c r="X82" i="6"/>
  <c r="Y82" i="6"/>
  <c r="Z82" i="6"/>
  <c r="Q83" i="6"/>
  <c r="O84" i="6"/>
  <c r="C38" i="8" s="1"/>
  <c r="P38" i="8" s="1"/>
  <c r="Q38" i="8" s="1"/>
  <c r="P84" i="6"/>
  <c r="D38" i="8" s="1"/>
  <c r="Q84" i="6"/>
  <c r="E38" i="8" s="1"/>
  <c r="R84" i="6"/>
  <c r="F38" i="8" s="1"/>
  <c r="S84" i="6"/>
  <c r="G38" i="8" s="1"/>
  <c r="T84" i="6"/>
  <c r="H38" i="8" s="1"/>
  <c r="U84" i="6"/>
  <c r="I38" i="8" s="1"/>
  <c r="V84" i="6"/>
  <c r="J38" i="8" s="1"/>
  <c r="W84" i="6"/>
  <c r="K38" i="8" s="1"/>
  <c r="X84" i="6"/>
  <c r="L38" i="8" s="1"/>
  <c r="Y84" i="6"/>
  <c r="M38" i="8" s="1"/>
  <c r="Z84" i="6"/>
  <c r="N38" i="8" s="1"/>
  <c r="O85" i="6"/>
  <c r="P85" i="6"/>
  <c r="Q85" i="6"/>
  <c r="R85" i="6"/>
  <c r="S85" i="6"/>
  <c r="T85" i="6"/>
  <c r="U85" i="6"/>
  <c r="V85" i="6"/>
  <c r="W85" i="6"/>
  <c r="X85" i="6"/>
  <c r="Y85" i="6"/>
  <c r="Z85" i="6"/>
  <c r="O86" i="6"/>
  <c r="P86" i="6"/>
  <c r="Q86" i="6"/>
  <c r="R86" i="6"/>
  <c r="S86" i="6"/>
  <c r="T86" i="6"/>
  <c r="U86" i="6"/>
  <c r="V86" i="6"/>
  <c r="W86" i="6"/>
  <c r="X86" i="6"/>
  <c r="Y86" i="6"/>
  <c r="Z86" i="6"/>
  <c r="U87" i="6"/>
  <c r="O88" i="6"/>
  <c r="C32" i="8" s="1"/>
  <c r="P88" i="6"/>
  <c r="D32" i="8" s="1"/>
  <c r="Q88" i="6"/>
  <c r="E32" i="8" s="1"/>
  <c r="R88" i="6"/>
  <c r="F32" i="8" s="1"/>
  <c r="S88" i="6"/>
  <c r="G32" i="8" s="1"/>
  <c r="T88" i="6"/>
  <c r="H32" i="8" s="1"/>
  <c r="U88" i="6"/>
  <c r="I32" i="8" s="1"/>
  <c r="V88" i="6"/>
  <c r="J32" i="8" s="1"/>
  <c r="W88" i="6"/>
  <c r="K32" i="8" s="1"/>
  <c r="X88" i="6"/>
  <c r="L32" i="8" s="1"/>
  <c r="Y88" i="6"/>
  <c r="M32" i="8" s="1"/>
  <c r="Z88" i="6"/>
  <c r="N32" i="8" s="1"/>
  <c r="O89" i="6"/>
  <c r="P89" i="6"/>
  <c r="Q89" i="6"/>
  <c r="R89" i="6"/>
  <c r="S89" i="6"/>
  <c r="T89" i="6"/>
  <c r="U89" i="6"/>
  <c r="V89" i="6"/>
  <c r="W89" i="6"/>
  <c r="X89" i="6"/>
  <c r="Y89" i="6"/>
  <c r="Z89" i="6"/>
  <c r="O90" i="6"/>
  <c r="P90" i="6"/>
  <c r="Q90" i="6"/>
  <c r="R90" i="6"/>
  <c r="S90" i="6"/>
  <c r="T90" i="6"/>
  <c r="U90" i="6"/>
  <c r="V90" i="6"/>
  <c r="W90" i="6"/>
  <c r="X90" i="6"/>
  <c r="Y90" i="6"/>
  <c r="Z90" i="6"/>
  <c r="Y91" i="6"/>
  <c r="O92" i="6"/>
  <c r="P92" i="6"/>
  <c r="Q92" i="6"/>
  <c r="R92" i="6"/>
  <c r="S92" i="6"/>
  <c r="T92" i="6"/>
  <c r="U92" i="6"/>
  <c r="V92" i="6"/>
  <c r="W92" i="6"/>
  <c r="X92" i="6"/>
  <c r="Y92" i="6"/>
  <c r="Z92" i="6"/>
  <c r="O93" i="6"/>
  <c r="P93" i="6"/>
  <c r="Q93" i="6"/>
  <c r="R93" i="6"/>
  <c r="S93" i="6"/>
  <c r="T93" i="6"/>
  <c r="U93" i="6"/>
  <c r="V93" i="6"/>
  <c r="W93" i="6"/>
  <c r="X93" i="6"/>
  <c r="Y93" i="6"/>
  <c r="Z93" i="6"/>
  <c r="O94" i="6"/>
  <c r="P94" i="6"/>
  <c r="Q94" i="6"/>
  <c r="R94" i="6"/>
  <c r="S94" i="6"/>
  <c r="T94" i="6"/>
  <c r="U94" i="6"/>
  <c r="V94" i="6"/>
  <c r="W94" i="6"/>
  <c r="X94" i="6"/>
  <c r="Y94" i="6"/>
  <c r="Z94" i="6"/>
  <c r="O96" i="6"/>
  <c r="P96" i="6"/>
  <c r="Q96" i="6"/>
  <c r="R96" i="6"/>
  <c r="S96" i="6"/>
  <c r="T96" i="6"/>
  <c r="U96" i="6"/>
  <c r="V96" i="6"/>
  <c r="W96" i="6"/>
  <c r="X96" i="6"/>
  <c r="Y96" i="6"/>
  <c r="Z96" i="6"/>
  <c r="O97" i="6"/>
  <c r="P97" i="6"/>
  <c r="Q97" i="6"/>
  <c r="R97" i="6"/>
  <c r="S97" i="6"/>
  <c r="T97" i="6"/>
  <c r="U97" i="6"/>
  <c r="V97" i="6"/>
  <c r="W97" i="6"/>
  <c r="X97" i="6"/>
  <c r="Y97" i="6"/>
  <c r="Z97" i="6"/>
  <c r="O98" i="6"/>
  <c r="P98" i="6"/>
  <c r="Q98" i="6"/>
  <c r="R98" i="6"/>
  <c r="S98" i="6"/>
  <c r="T98" i="6"/>
  <c r="U98" i="6"/>
  <c r="V98" i="6"/>
  <c r="W98" i="6"/>
  <c r="X98" i="6"/>
  <c r="Y98" i="6"/>
  <c r="Z98" i="6"/>
  <c r="Q99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U103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Q107" i="6"/>
  <c r="R107" i="6"/>
  <c r="Y107" i="6"/>
  <c r="Z107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U111" i="6"/>
  <c r="V111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Q115" i="6"/>
  <c r="R115" i="6"/>
  <c r="Y115" i="6"/>
  <c r="Z115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U119" i="6"/>
  <c r="V119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Q123" i="6"/>
  <c r="R123" i="6"/>
  <c r="Y123" i="6"/>
  <c r="Z123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U127" i="6"/>
  <c r="V127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B27" i="6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M17" i="8" l="1"/>
  <c r="M37" i="8"/>
  <c r="I17" i="8"/>
  <c r="N36" i="8"/>
  <c r="J36" i="8"/>
  <c r="F36" i="8"/>
  <c r="K17" i="8"/>
  <c r="G17" i="8"/>
  <c r="G37" i="8"/>
  <c r="C17" i="8"/>
  <c r="E17" i="8"/>
  <c r="P17" i="8" s="1"/>
  <c r="Q17" i="8" s="1"/>
  <c r="E37" i="8"/>
  <c r="L17" i="8"/>
  <c r="L37" i="8"/>
  <c r="H17" i="8"/>
  <c r="D17" i="8"/>
  <c r="M36" i="8"/>
  <c r="I36" i="8"/>
  <c r="E36" i="8"/>
  <c r="P36" i="8" s="1"/>
  <c r="Q36" i="8" s="1"/>
  <c r="N17" i="8"/>
  <c r="J17" i="8"/>
  <c r="F17" i="8"/>
  <c r="F37" i="8"/>
  <c r="F34" i="8"/>
  <c r="P58" i="8"/>
  <c r="P39" i="8"/>
  <c r="Q39" i="8" s="1"/>
  <c r="F65" i="8"/>
  <c r="N65" i="8"/>
  <c r="O64" i="8"/>
  <c r="O66" i="8" s="1"/>
  <c r="O50" i="8" s="1"/>
  <c r="F25" i="8"/>
  <c r="M18" i="8"/>
  <c r="I18" i="8"/>
  <c r="E18" i="8"/>
  <c r="O69" i="8"/>
  <c r="O70" i="8" s="1"/>
  <c r="O71" i="8" s="1"/>
  <c r="P59" i="8"/>
  <c r="Q59" i="8" s="1"/>
  <c r="P42" i="8"/>
  <c r="Q42" i="8" s="1"/>
  <c r="F27" i="8"/>
  <c r="N30" i="8"/>
  <c r="J30" i="8"/>
  <c r="N28" i="8"/>
  <c r="E27" i="8"/>
  <c r="F20" i="8"/>
  <c r="K30" i="8"/>
  <c r="G30" i="8"/>
  <c r="C30" i="8"/>
  <c r="C28" i="8"/>
  <c r="E19" i="8"/>
  <c r="F30" i="8"/>
  <c r="F28" i="8"/>
  <c r="M25" i="8"/>
  <c r="L18" i="8"/>
  <c r="H18" i="8"/>
  <c r="D18" i="8"/>
  <c r="M30" i="8"/>
  <c r="I30" i="8"/>
  <c r="E30" i="8"/>
  <c r="M28" i="8"/>
  <c r="E28" i="8"/>
  <c r="F26" i="8"/>
  <c r="K18" i="8"/>
  <c r="G18" i="8"/>
  <c r="C18" i="8"/>
  <c r="P32" i="8"/>
  <c r="Q32" i="8" s="1"/>
  <c r="L30" i="8"/>
  <c r="H30" i="8"/>
  <c r="D30" i="8"/>
  <c r="F19" i="8"/>
  <c r="N18" i="8"/>
  <c r="J18" i="8"/>
  <c r="F18" i="8"/>
  <c r="O72" i="8"/>
  <c r="Q58" i="8"/>
  <c r="Z127" i="6"/>
  <c r="R127" i="6"/>
  <c r="V123" i="6"/>
  <c r="Z119" i="6"/>
  <c r="R119" i="6"/>
  <c r="V115" i="6"/>
  <c r="J28" i="8" s="1"/>
  <c r="Z111" i="6"/>
  <c r="R111" i="6"/>
  <c r="V107" i="6"/>
  <c r="Z103" i="6"/>
  <c r="Q103" i="6"/>
  <c r="Y95" i="6"/>
  <c r="U91" i="6"/>
  <c r="Q87" i="6"/>
  <c r="Y79" i="6"/>
  <c r="M26" i="8" s="1"/>
  <c r="U75" i="6"/>
  <c r="Q71" i="6"/>
  <c r="Y63" i="6"/>
  <c r="U59" i="6"/>
  <c r="I25" i="8" s="1"/>
  <c r="Q55" i="6"/>
  <c r="Y47" i="6"/>
  <c r="U43" i="6"/>
  <c r="Q39" i="6"/>
  <c r="E34" i="8" s="1"/>
  <c r="Y31" i="6"/>
  <c r="V27" i="6"/>
  <c r="Y127" i="6"/>
  <c r="Q127" i="6"/>
  <c r="U123" i="6"/>
  <c r="Y119" i="6"/>
  <c r="Q119" i="6"/>
  <c r="U115" i="6"/>
  <c r="I28" i="8" s="1"/>
  <c r="Y111" i="6"/>
  <c r="Q111" i="6"/>
  <c r="U107" i="6"/>
  <c r="Y103" i="6"/>
  <c r="Y99" i="6"/>
  <c r="U95" i="6"/>
  <c r="Q91" i="6"/>
  <c r="Y83" i="6"/>
  <c r="M27" i="8" s="1"/>
  <c r="U79" i="6"/>
  <c r="I26" i="8" s="1"/>
  <c r="Q75" i="6"/>
  <c r="Y67" i="6"/>
  <c r="U63" i="6"/>
  <c r="Q59" i="6"/>
  <c r="E25" i="8" s="1"/>
  <c r="Y51" i="6"/>
  <c r="M19" i="8" s="1"/>
  <c r="U47" i="6"/>
  <c r="Q43" i="6"/>
  <c r="Y35" i="6"/>
  <c r="U31" i="6"/>
  <c r="V103" i="6"/>
  <c r="U99" i="6"/>
  <c r="Q95" i="6"/>
  <c r="Y87" i="6"/>
  <c r="U83" i="6"/>
  <c r="I27" i="8" s="1"/>
  <c r="Q79" i="6"/>
  <c r="E26" i="8" s="1"/>
  <c r="Y71" i="6"/>
  <c r="U67" i="6"/>
  <c r="I34" i="8" s="1"/>
  <c r="Q63" i="6"/>
  <c r="Y55" i="6"/>
  <c r="U51" i="6"/>
  <c r="I19" i="8" s="1"/>
  <c r="Q47" i="6"/>
  <c r="Y39" i="6"/>
  <c r="M34" i="8" s="1"/>
  <c r="M33" i="8" s="1"/>
  <c r="M57" i="8" s="1"/>
  <c r="U35" i="6"/>
  <c r="Q31" i="6"/>
  <c r="X127" i="6"/>
  <c r="T127" i="6"/>
  <c r="P127" i="6"/>
  <c r="X123" i="6"/>
  <c r="T123" i="6"/>
  <c r="P123" i="6"/>
  <c r="X119" i="6"/>
  <c r="T119" i="6"/>
  <c r="P119" i="6"/>
  <c r="X115" i="6"/>
  <c r="L28" i="8" s="1"/>
  <c r="T115" i="6"/>
  <c r="H28" i="8" s="1"/>
  <c r="P115" i="6"/>
  <c r="D28" i="8" s="1"/>
  <c r="X111" i="6"/>
  <c r="T111" i="6"/>
  <c r="P111" i="6"/>
  <c r="X107" i="6"/>
  <c r="T107" i="6"/>
  <c r="P107" i="6"/>
  <c r="X103" i="6"/>
  <c r="T103" i="6"/>
  <c r="P103" i="6"/>
  <c r="X99" i="6"/>
  <c r="T99" i="6"/>
  <c r="P99" i="6"/>
  <c r="X95" i="6"/>
  <c r="T95" i="6"/>
  <c r="P95" i="6"/>
  <c r="X91" i="6"/>
  <c r="T91" i="6"/>
  <c r="P91" i="6"/>
  <c r="X87" i="6"/>
  <c r="T87" i="6"/>
  <c r="P87" i="6"/>
  <c r="X83" i="6"/>
  <c r="L27" i="8" s="1"/>
  <c r="T83" i="6"/>
  <c r="H27" i="8" s="1"/>
  <c r="P83" i="6"/>
  <c r="D27" i="8" s="1"/>
  <c r="X79" i="6"/>
  <c r="L26" i="8" s="1"/>
  <c r="T79" i="6"/>
  <c r="H26" i="8" s="1"/>
  <c r="P79" i="6"/>
  <c r="D26" i="8" s="1"/>
  <c r="X75" i="6"/>
  <c r="T75" i="6"/>
  <c r="P75" i="6"/>
  <c r="X71" i="6"/>
  <c r="T71" i="6"/>
  <c r="P71" i="6"/>
  <c r="X67" i="6"/>
  <c r="T67" i="6"/>
  <c r="P67" i="6"/>
  <c r="X63" i="6"/>
  <c r="T63" i="6"/>
  <c r="P63" i="6"/>
  <c r="X59" i="6"/>
  <c r="L25" i="8" s="1"/>
  <c r="T59" i="6"/>
  <c r="H25" i="8" s="1"/>
  <c r="P59" i="6"/>
  <c r="D25" i="8" s="1"/>
  <c r="X55" i="6"/>
  <c r="T55" i="6"/>
  <c r="P55" i="6"/>
  <c r="X51" i="6"/>
  <c r="L19" i="8" s="1"/>
  <c r="T51" i="6"/>
  <c r="H19" i="8" s="1"/>
  <c r="P51" i="6"/>
  <c r="D19" i="8" s="1"/>
  <c r="X47" i="6"/>
  <c r="T47" i="6"/>
  <c r="P47" i="6"/>
  <c r="X43" i="6"/>
  <c r="T43" i="6"/>
  <c r="P43" i="6"/>
  <c r="X39" i="6"/>
  <c r="T39" i="6"/>
  <c r="H34" i="8" s="1"/>
  <c r="P39" i="6"/>
  <c r="D34" i="8" s="1"/>
  <c r="X35" i="6"/>
  <c r="T35" i="6"/>
  <c r="P35" i="6"/>
  <c r="X31" i="6"/>
  <c r="L20" i="8" s="1"/>
  <c r="T31" i="6"/>
  <c r="H20" i="8" s="1"/>
  <c r="P31" i="6"/>
  <c r="D20" i="8" s="1"/>
  <c r="R27" i="6"/>
  <c r="W127" i="6"/>
  <c r="S127" i="6"/>
  <c r="W123" i="6"/>
  <c r="S123" i="6"/>
  <c r="W119" i="6"/>
  <c r="S119" i="6"/>
  <c r="W115" i="6"/>
  <c r="K28" i="8" s="1"/>
  <c r="S115" i="6"/>
  <c r="G28" i="8" s="1"/>
  <c r="W111" i="6"/>
  <c r="S111" i="6"/>
  <c r="W107" i="6"/>
  <c r="S107" i="6"/>
  <c r="W103" i="6"/>
  <c r="S103" i="6"/>
  <c r="O103" i="6"/>
  <c r="W99" i="6"/>
  <c r="S99" i="6"/>
  <c r="O99" i="6"/>
  <c r="W95" i="6"/>
  <c r="S95" i="6"/>
  <c r="O95" i="6"/>
  <c r="W91" i="6"/>
  <c r="S91" i="6"/>
  <c r="O91" i="6"/>
  <c r="W87" i="6"/>
  <c r="S87" i="6"/>
  <c r="O87" i="6"/>
  <c r="W83" i="6"/>
  <c r="K27" i="8" s="1"/>
  <c r="S83" i="6"/>
  <c r="G27" i="8" s="1"/>
  <c r="O83" i="6"/>
  <c r="C27" i="8" s="1"/>
  <c r="W79" i="6"/>
  <c r="K26" i="8" s="1"/>
  <c r="S79" i="6"/>
  <c r="G26" i="8" s="1"/>
  <c r="O79" i="6"/>
  <c r="C26" i="8" s="1"/>
  <c r="W75" i="6"/>
  <c r="S75" i="6"/>
  <c r="O75" i="6"/>
  <c r="W71" i="6"/>
  <c r="S71" i="6"/>
  <c r="O71" i="6"/>
  <c r="W67" i="6"/>
  <c r="S67" i="6"/>
  <c r="O67" i="6"/>
  <c r="W63" i="6"/>
  <c r="S63" i="6"/>
  <c r="O63" i="6"/>
  <c r="W59" i="6"/>
  <c r="K25" i="8" s="1"/>
  <c r="S59" i="6"/>
  <c r="G25" i="8" s="1"/>
  <c r="O59" i="6"/>
  <c r="C25" i="8" s="1"/>
  <c r="W55" i="6"/>
  <c r="S55" i="6"/>
  <c r="O55" i="6"/>
  <c r="W51" i="6"/>
  <c r="K19" i="8" s="1"/>
  <c r="S51" i="6"/>
  <c r="G19" i="8" s="1"/>
  <c r="O51" i="6"/>
  <c r="C19" i="8" s="1"/>
  <c r="W47" i="6"/>
  <c r="S47" i="6"/>
  <c r="O47" i="6"/>
  <c r="W43" i="6"/>
  <c r="S43" i="6"/>
  <c r="O43" i="6"/>
  <c r="W39" i="6"/>
  <c r="K34" i="8" s="1"/>
  <c r="S39" i="6"/>
  <c r="G34" i="8" s="1"/>
  <c r="G33" i="8" s="1"/>
  <c r="G57" i="8" s="1"/>
  <c r="O39" i="6"/>
  <c r="W35" i="6"/>
  <c r="S35" i="6"/>
  <c r="O35" i="6"/>
  <c r="W31" i="6"/>
  <c r="K20" i="8" s="1"/>
  <c r="S31" i="6"/>
  <c r="G20" i="8" s="1"/>
  <c r="O31" i="6"/>
  <c r="C20" i="8" s="1"/>
  <c r="Z99" i="6"/>
  <c r="V99" i="6"/>
  <c r="Z95" i="6"/>
  <c r="V95" i="6"/>
  <c r="Z91" i="6"/>
  <c r="V91" i="6"/>
  <c r="Z87" i="6"/>
  <c r="V87" i="6"/>
  <c r="Z83" i="6"/>
  <c r="N27" i="8" s="1"/>
  <c r="V83" i="6"/>
  <c r="J27" i="8" s="1"/>
  <c r="Z79" i="6"/>
  <c r="N26" i="8" s="1"/>
  <c r="V79" i="6"/>
  <c r="J26" i="8" s="1"/>
  <c r="Z75" i="6"/>
  <c r="V75" i="6"/>
  <c r="Z71" i="6"/>
  <c r="V71" i="6"/>
  <c r="Z67" i="6"/>
  <c r="V67" i="6"/>
  <c r="Z63" i="6"/>
  <c r="V63" i="6"/>
  <c r="Z59" i="6"/>
  <c r="N25" i="8" s="1"/>
  <c r="V59" i="6"/>
  <c r="J25" i="8" s="1"/>
  <c r="Z55" i="6"/>
  <c r="V55" i="6"/>
  <c r="Z51" i="6"/>
  <c r="N19" i="8" s="1"/>
  <c r="V51" i="6"/>
  <c r="J19" i="8" s="1"/>
  <c r="Z47" i="6"/>
  <c r="V47" i="6"/>
  <c r="Z43" i="6"/>
  <c r="V43" i="6"/>
  <c r="Z39" i="6"/>
  <c r="V39" i="6"/>
  <c r="J34" i="8" s="1"/>
  <c r="Z35" i="6"/>
  <c r="V35" i="6"/>
  <c r="Z31" i="6"/>
  <c r="N20" i="8" s="1"/>
  <c r="V31" i="6"/>
  <c r="J20" i="8" s="1"/>
  <c r="Y27" i="6"/>
  <c r="U27" i="6"/>
  <c r="Q27" i="6"/>
  <c r="X27" i="6"/>
  <c r="T27" i="6"/>
  <c r="P27" i="6"/>
  <c r="W27" i="6"/>
  <c r="S27" i="6"/>
  <c r="B6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B3" i="7"/>
  <c r="O11" i="6"/>
  <c r="C22" i="8" s="1"/>
  <c r="P11" i="6"/>
  <c r="D22" i="8" s="1"/>
  <c r="Q11" i="6"/>
  <c r="E22" i="8" s="1"/>
  <c r="R11" i="6"/>
  <c r="F22" i="8" s="1"/>
  <c r="S11" i="6"/>
  <c r="G22" i="8" s="1"/>
  <c r="T11" i="6"/>
  <c r="H22" i="8" s="1"/>
  <c r="U11" i="6"/>
  <c r="I22" i="8" s="1"/>
  <c r="V11" i="6"/>
  <c r="J22" i="8" s="1"/>
  <c r="W11" i="6"/>
  <c r="K22" i="8" s="1"/>
  <c r="X11" i="6"/>
  <c r="L22" i="8" s="1"/>
  <c r="Y11" i="6"/>
  <c r="M22" i="8" s="1"/>
  <c r="Z11" i="6"/>
  <c r="N22" i="8" s="1"/>
  <c r="O12" i="6"/>
  <c r="C14" i="8" s="1"/>
  <c r="P12" i="6"/>
  <c r="D14" i="8" s="1"/>
  <c r="Q12" i="6"/>
  <c r="E14" i="8" s="1"/>
  <c r="R12" i="6"/>
  <c r="F14" i="8" s="1"/>
  <c r="S12" i="6"/>
  <c r="G14" i="8" s="1"/>
  <c r="T12" i="6"/>
  <c r="H14" i="8" s="1"/>
  <c r="U12" i="6"/>
  <c r="I14" i="8" s="1"/>
  <c r="V12" i="6"/>
  <c r="J14" i="8" s="1"/>
  <c r="W12" i="6"/>
  <c r="K14" i="8" s="1"/>
  <c r="X12" i="6"/>
  <c r="L14" i="8" s="1"/>
  <c r="Y12" i="6"/>
  <c r="M14" i="8" s="1"/>
  <c r="Z12" i="6"/>
  <c r="N14" i="8" s="1"/>
  <c r="O13" i="6"/>
  <c r="C7" i="8" s="1"/>
  <c r="P13" i="6"/>
  <c r="D7" i="8" s="1"/>
  <c r="Q13" i="6"/>
  <c r="E7" i="8" s="1"/>
  <c r="R13" i="6"/>
  <c r="F7" i="8" s="1"/>
  <c r="S13" i="6"/>
  <c r="G7" i="8" s="1"/>
  <c r="T13" i="6"/>
  <c r="H7" i="8" s="1"/>
  <c r="U13" i="6"/>
  <c r="I7" i="8" s="1"/>
  <c r="V13" i="6"/>
  <c r="J7" i="8" s="1"/>
  <c r="W13" i="6"/>
  <c r="K7" i="8" s="1"/>
  <c r="X13" i="6"/>
  <c r="L7" i="8" s="1"/>
  <c r="Y13" i="6"/>
  <c r="M7" i="8" s="1"/>
  <c r="Z13" i="6"/>
  <c r="N7" i="8" s="1"/>
  <c r="O14" i="6"/>
  <c r="P14" i="6"/>
  <c r="Q14" i="6"/>
  <c r="E9" i="8" s="1"/>
  <c r="R14" i="6"/>
  <c r="F9" i="8" s="1"/>
  <c r="S14" i="6"/>
  <c r="G9" i="8" s="1"/>
  <c r="T14" i="6"/>
  <c r="U14" i="6"/>
  <c r="V14" i="6"/>
  <c r="W14" i="6"/>
  <c r="X14" i="6"/>
  <c r="L9" i="8" s="1"/>
  <c r="Y14" i="6"/>
  <c r="M9" i="8" s="1"/>
  <c r="Z14" i="6"/>
  <c r="N9" i="8" s="1"/>
  <c r="O15" i="6"/>
  <c r="P15" i="6"/>
  <c r="Q15" i="6"/>
  <c r="R15" i="6"/>
  <c r="S15" i="6"/>
  <c r="T15" i="6"/>
  <c r="U15" i="6"/>
  <c r="V15" i="6"/>
  <c r="W15" i="6"/>
  <c r="X15" i="6"/>
  <c r="Y15" i="6"/>
  <c r="Z15" i="6"/>
  <c r="O16" i="6"/>
  <c r="P16" i="6"/>
  <c r="Q16" i="6"/>
  <c r="E23" i="8" s="1"/>
  <c r="R16" i="6"/>
  <c r="F23" i="8" s="1"/>
  <c r="S16" i="6"/>
  <c r="T16" i="6"/>
  <c r="H23" i="8" s="1"/>
  <c r="U16" i="6"/>
  <c r="I23" i="8" s="1"/>
  <c r="V16" i="6"/>
  <c r="W16" i="6"/>
  <c r="X16" i="6"/>
  <c r="Y16" i="6"/>
  <c r="Z16" i="6"/>
  <c r="O17" i="6"/>
  <c r="C12" i="8" s="1"/>
  <c r="P17" i="6"/>
  <c r="D12" i="8" s="1"/>
  <c r="Q17" i="6"/>
  <c r="E12" i="8" s="1"/>
  <c r="R17" i="6"/>
  <c r="F12" i="8" s="1"/>
  <c r="S17" i="6"/>
  <c r="G12" i="8" s="1"/>
  <c r="T17" i="6"/>
  <c r="H12" i="8" s="1"/>
  <c r="U17" i="6"/>
  <c r="I12" i="8" s="1"/>
  <c r="V17" i="6"/>
  <c r="J12" i="8" s="1"/>
  <c r="W17" i="6"/>
  <c r="K12" i="8" s="1"/>
  <c r="X17" i="6"/>
  <c r="L12" i="8" s="1"/>
  <c r="Y17" i="6"/>
  <c r="M12" i="8" s="1"/>
  <c r="Z17" i="6"/>
  <c r="N12" i="8" s="1"/>
  <c r="O18" i="6"/>
  <c r="P18" i="6"/>
  <c r="Q18" i="6"/>
  <c r="R18" i="6"/>
  <c r="S18" i="6"/>
  <c r="T18" i="6"/>
  <c r="U18" i="6"/>
  <c r="V18" i="6"/>
  <c r="W18" i="6"/>
  <c r="X18" i="6"/>
  <c r="Y18" i="6"/>
  <c r="Z18" i="6"/>
  <c r="O19" i="6"/>
  <c r="C24" i="8" s="1"/>
  <c r="P19" i="6"/>
  <c r="D24" i="8" s="1"/>
  <c r="Q19" i="6"/>
  <c r="E24" i="8" s="1"/>
  <c r="R19" i="6"/>
  <c r="F24" i="8" s="1"/>
  <c r="S19" i="6"/>
  <c r="G24" i="8" s="1"/>
  <c r="T19" i="6"/>
  <c r="H24" i="8" s="1"/>
  <c r="U19" i="6"/>
  <c r="I24" i="8" s="1"/>
  <c r="V19" i="6"/>
  <c r="J24" i="8" s="1"/>
  <c r="W19" i="6"/>
  <c r="K24" i="8" s="1"/>
  <c r="X19" i="6"/>
  <c r="L24" i="8" s="1"/>
  <c r="Y19" i="6"/>
  <c r="M24" i="8" s="1"/>
  <c r="Z19" i="6"/>
  <c r="N24" i="8" s="1"/>
  <c r="O20" i="6"/>
  <c r="C21" i="8" s="1"/>
  <c r="P20" i="6"/>
  <c r="D21" i="8" s="1"/>
  <c r="Q20" i="6"/>
  <c r="E21" i="8" s="1"/>
  <c r="R20" i="6"/>
  <c r="F21" i="8" s="1"/>
  <c r="S20" i="6"/>
  <c r="G21" i="8" s="1"/>
  <c r="T20" i="6"/>
  <c r="H21" i="8" s="1"/>
  <c r="U20" i="6"/>
  <c r="I21" i="8" s="1"/>
  <c r="V20" i="6"/>
  <c r="J21" i="8" s="1"/>
  <c r="W20" i="6"/>
  <c r="K21" i="8" s="1"/>
  <c r="X20" i="6"/>
  <c r="L21" i="8" s="1"/>
  <c r="Y20" i="6"/>
  <c r="M21" i="8" s="1"/>
  <c r="Z20" i="6"/>
  <c r="N21" i="8" s="1"/>
  <c r="O21" i="6"/>
  <c r="P21" i="6"/>
  <c r="D31" i="8" s="1"/>
  <c r="Q21" i="6"/>
  <c r="E31" i="8" s="1"/>
  <c r="R21" i="6"/>
  <c r="F31" i="8" s="1"/>
  <c r="S21" i="6"/>
  <c r="T21" i="6"/>
  <c r="H31" i="8" s="1"/>
  <c r="U21" i="6"/>
  <c r="I31" i="8" s="1"/>
  <c r="V21" i="6"/>
  <c r="W21" i="6"/>
  <c r="X21" i="6"/>
  <c r="Y21" i="6"/>
  <c r="M31" i="8" s="1"/>
  <c r="Z21" i="6"/>
  <c r="N31" i="8" s="1"/>
  <c r="O22" i="6"/>
  <c r="P22" i="6"/>
  <c r="Q22" i="6"/>
  <c r="R22" i="6"/>
  <c r="S22" i="6"/>
  <c r="T22" i="6"/>
  <c r="U22" i="6"/>
  <c r="V22" i="6"/>
  <c r="W22" i="6"/>
  <c r="X22" i="6"/>
  <c r="Y22" i="6"/>
  <c r="Z22" i="6"/>
  <c r="O23" i="6"/>
  <c r="P23" i="6"/>
  <c r="Q23" i="6"/>
  <c r="R23" i="6"/>
  <c r="S23" i="6"/>
  <c r="T23" i="6"/>
  <c r="U23" i="6"/>
  <c r="V23" i="6"/>
  <c r="W23" i="6"/>
  <c r="X23" i="6"/>
  <c r="Y23" i="6"/>
  <c r="Z23" i="6"/>
  <c r="O24" i="6"/>
  <c r="P24" i="6"/>
  <c r="Q24" i="6"/>
  <c r="R24" i="6"/>
  <c r="S24" i="6"/>
  <c r="T24" i="6"/>
  <c r="U24" i="6"/>
  <c r="V24" i="6"/>
  <c r="W24" i="6"/>
  <c r="X24" i="6"/>
  <c r="Y24" i="6"/>
  <c r="Z24" i="6"/>
  <c r="O25" i="6"/>
  <c r="P25" i="6"/>
  <c r="Q25" i="6"/>
  <c r="E29" i="8" s="1"/>
  <c r="R25" i="6"/>
  <c r="F29" i="8" s="1"/>
  <c r="S25" i="6"/>
  <c r="T25" i="6"/>
  <c r="U25" i="6"/>
  <c r="V25" i="6"/>
  <c r="J29" i="8" s="1"/>
  <c r="W25" i="6"/>
  <c r="X25" i="6"/>
  <c r="Y25" i="6"/>
  <c r="M29" i="8" s="1"/>
  <c r="Z25" i="6"/>
  <c r="O26" i="6"/>
  <c r="P26" i="6"/>
  <c r="Q26" i="6"/>
  <c r="R26" i="6"/>
  <c r="S26" i="6"/>
  <c r="T26" i="6"/>
  <c r="U26" i="6"/>
  <c r="V26" i="6"/>
  <c r="W26" i="6"/>
  <c r="X26" i="6"/>
  <c r="Y26" i="6"/>
  <c r="Z26" i="6"/>
  <c r="P10" i="6"/>
  <c r="Q10" i="6"/>
  <c r="R10" i="6"/>
  <c r="S10" i="6"/>
  <c r="T10" i="6"/>
  <c r="U10" i="6"/>
  <c r="V10" i="6"/>
  <c r="W10" i="6"/>
  <c r="X10" i="6"/>
  <c r="Y10" i="6"/>
  <c r="Z10" i="6"/>
  <c r="O10" i="6"/>
  <c r="A10" i="6"/>
  <c r="A9" i="6"/>
  <c r="N37" i="8" l="1"/>
  <c r="D37" i="8"/>
  <c r="D33" i="8" s="1"/>
  <c r="D57" i="8" s="1"/>
  <c r="N34" i="8"/>
  <c r="J37" i="8"/>
  <c r="J33" i="8" s="1"/>
  <c r="J57" i="8" s="1"/>
  <c r="C37" i="8"/>
  <c r="K37" i="8"/>
  <c r="K33" i="8" s="1"/>
  <c r="K57" i="8" s="1"/>
  <c r="C34" i="8"/>
  <c r="L34" i="8"/>
  <c r="L33" i="8" s="1"/>
  <c r="L57" i="8" s="1"/>
  <c r="E33" i="8"/>
  <c r="E57" i="8" s="1"/>
  <c r="F33" i="8"/>
  <c r="F57" i="8" s="1"/>
  <c r="H37" i="8"/>
  <c r="H33" i="8" s="1"/>
  <c r="H57" i="8" s="1"/>
  <c r="I37" i="8"/>
  <c r="I33" i="8" s="1"/>
  <c r="I57" i="8" s="1"/>
  <c r="P65" i="8"/>
  <c r="Q65" i="8"/>
  <c r="M23" i="8"/>
  <c r="I9" i="8"/>
  <c r="I29" i="8"/>
  <c r="D29" i="8"/>
  <c r="L31" i="8"/>
  <c r="L23" i="8"/>
  <c r="D9" i="8"/>
  <c r="C31" i="8"/>
  <c r="C23" i="8"/>
  <c r="K9" i="8"/>
  <c r="P26" i="8"/>
  <c r="Q26" i="8" s="1"/>
  <c r="P19" i="8"/>
  <c r="Q19" i="8" s="1"/>
  <c r="M16" i="8"/>
  <c r="I16" i="8"/>
  <c r="E16" i="8"/>
  <c r="P27" i="8"/>
  <c r="Q27" i="8" s="1"/>
  <c r="P25" i="8"/>
  <c r="Q25" i="8" s="1"/>
  <c r="L16" i="8"/>
  <c r="H16" i="8"/>
  <c r="D16" i="8"/>
  <c r="I20" i="8"/>
  <c r="K29" i="8"/>
  <c r="G29" i="8"/>
  <c r="C29" i="8"/>
  <c r="K31" i="8"/>
  <c r="G31" i="8"/>
  <c r="P21" i="8"/>
  <c r="Q21" i="8" s="1"/>
  <c r="P24" i="8"/>
  <c r="Q24" i="8" s="1"/>
  <c r="K16" i="8"/>
  <c r="G16" i="8"/>
  <c r="C16" i="8"/>
  <c r="K23" i="8"/>
  <c r="G23" i="8"/>
  <c r="P14" i="8"/>
  <c r="Q14" i="8" s="1"/>
  <c r="P22" i="8"/>
  <c r="Q22" i="8" s="1"/>
  <c r="E20" i="8"/>
  <c r="M20" i="8"/>
  <c r="M11" i="8" s="1"/>
  <c r="M56" i="8" s="1"/>
  <c r="P30" i="8"/>
  <c r="Q30" i="8" s="1"/>
  <c r="L29" i="8"/>
  <c r="H29" i="8"/>
  <c r="D23" i="8"/>
  <c r="N29" i="8"/>
  <c r="J31" i="8"/>
  <c r="N16" i="8"/>
  <c r="J16" i="8"/>
  <c r="F16" i="8"/>
  <c r="F11" i="8" s="1"/>
  <c r="F56" i="8" s="1"/>
  <c r="N23" i="8"/>
  <c r="J23" i="8"/>
  <c r="P18" i="8"/>
  <c r="Q18" i="8" s="1"/>
  <c r="P28" i="8"/>
  <c r="Q28" i="8" s="1"/>
  <c r="N6" i="8"/>
  <c r="N5" i="8" s="1"/>
  <c r="N55" i="8" s="1"/>
  <c r="J6" i="8"/>
  <c r="F6" i="8"/>
  <c r="F5" i="8" s="1"/>
  <c r="F55" i="8" s="1"/>
  <c r="P12" i="8"/>
  <c r="Q12" i="8" s="1"/>
  <c r="I6" i="8"/>
  <c r="C9" i="8"/>
  <c r="M6" i="8"/>
  <c r="M5" i="8" s="1"/>
  <c r="M55" i="8" s="1"/>
  <c r="E6" i="8"/>
  <c r="E5" i="8" s="1"/>
  <c r="E55" i="8" s="1"/>
  <c r="H9" i="8"/>
  <c r="L6" i="8"/>
  <c r="L5" i="8" s="1"/>
  <c r="L55" i="8" s="1"/>
  <c r="H6" i="8"/>
  <c r="D6" i="8"/>
  <c r="K6" i="8"/>
  <c r="G6" i="8"/>
  <c r="G5" i="8" s="1"/>
  <c r="G55" i="8" s="1"/>
  <c r="J9" i="8"/>
  <c r="P7" i="8"/>
  <c r="Q7" i="8" s="1"/>
  <c r="C6" i="8"/>
  <c r="F3" i="7"/>
  <c r="Y5" i="6"/>
  <c r="U5" i="6"/>
  <c r="Q5" i="6"/>
  <c r="T4" i="6"/>
  <c r="V5" i="6"/>
  <c r="B4" i="7"/>
  <c r="Z5" i="6"/>
  <c r="R5" i="6"/>
  <c r="X4" i="6"/>
  <c r="P4" i="6"/>
  <c r="W5" i="6"/>
  <c r="S5" i="6"/>
  <c r="O5" i="6"/>
  <c r="T5" i="6"/>
  <c r="P5" i="6"/>
  <c r="W4" i="6"/>
  <c r="X5" i="6"/>
  <c r="S4" i="6"/>
  <c r="Z4" i="6"/>
  <c r="V4" i="6"/>
  <c r="R4" i="6"/>
  <c r="O4" i="6"/>
  <c r="Y4" i="6"/>
  <c r="U4" i="6"/>
  <c r="Q4" i="6"/>
  <c r="M9" i="6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M27" i="6" s="1"/>
  <c r="M28" i="6" s="1"/>
  <c r="M29" i="6" s="1"/>
  <c r="M30" i="6" s="1"/>
  <c r="M31" i="6" s="1"/>
  <c r="M32" i="6" s="1"/>
  <c r="M33" i="6" s="1"/>
  <c r="M34" i="6" s="1"/>
  <c r="M35" i="6" s="1"/>
  <c r="M36" i="6" s="1"/>
  <c r="M37" i="6" s="1"/>
  <c r="M38" i="6" s="1"/>
  <c r="M39" i="6" s="1"/>
  <c r="M40" i="6" s="1"/>
  <c r="M41" i="6" s="1"/>
  <c r="M42" i="6" s="1"/>
  <c r="M43" i="6" s="1"/>
  <c r="M44" i="6" s="1"/>
  <c r="M45" i="6" s="1"/>
  <c r="M46" i="6" s="1"/>
  <c r="M47" i="6" s="1"/>
  <c r="M48" i="6" s="1"/>
  <c r="M49" i="6" s="1"/>
  <c r="M50" i="6" s="1"/>
  <c r="M51" i="6" s="1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M82" i="6" s="1"/>
  <c r="M83" i="6" s="1"/>
  <c r="M84" i="6" s="1"/>
  <c r="M85" i="6" s="1"/>
  <c r="M86" i="6" s="1"/>
  <c r="M87" i="6" s="1"/>
  <c r="M88" i="6" s="1"/>
  <c r="M89" i="6" s="1"/>
  <c r="M90" i="6" s="1"/>
  <c r="M91" i="6" s="1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L9" i="6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L111" i="6" s="1"/>
  <c r="L112" i="6" s="1"/>
  <c r="L113" i="6" s="1"/>
  <c r="L114" i="6" s="1"/>
  <c r="L115" i="6" s="1"/>
  <c r="L116" i="6" s="1"/>
  <c r="L117" i="6" s="1"/>
  <c r="L118" i="6" s="1"/>
  <c r="L119" i="6" s="1"/>
  <c r="L120" i="6" s="1"/>
  <c r="L121" i="6" s="1"/>
  <c r="L122" i="6" s="1"/>
  <c r="L123" i="6" s="1"/>
  <c r="L124" i="6" s="1"/>
  <c r="L125" i="6" s="1"/>
  <c r="L126" i="6" s="1"/>
  <c r="L127" i="6" s="1"/>
  <c r="L128" i="6" s="1"/>
  <c r="C33" i="8" l="1"/>
  <c r="P34" i="8"/>
  <c r="Q34" i="8" s="1"/>
  <c r="P37" i="8"/>
  <c r="Q37" i="8" s="1"/>
  <c r="N33" i="8"/>
  <c r="N57" i="8" s="1"/>
  <c r="N69" i="8" s="1"/>
  <c r="N70" i="8" s="1"/>
  <c r="K5" i="8"/>
  <c r="K55" i="8" s="1"/>
  <c r="K69" i="8" s="1"/>
  <c r="K70" i="8" s="1"/>
  <c r="I5" i="8"/>
  <c r="I55" i="8" s="1"/>
  <c r="L11" i="8"/>
  <c r="L56" i="8" s="1"/>
  <c r="D5" i="8"/>
  <c r="D55" i="8" s="1"/>
  <c r="D69" i="8" s="1"/>
  <c r="D70" i="8" s="1"/>
  <c r="C11" i="8"/>
  <c r="H11" i="8"/>
  <c r="H56" i="8" s="1"/>
  <c r="E11" i="8"/>
  <c r="E56" i="8" s="1"/>
  <c r="N11" i="8"/>
  <c r="N56" i="8" s="1"/>
  <c r="J11" i="8"/>
  <c r="J56" i="8" s="1"/>
  <c r="G11" i="8"/>
  <c r="G56" i="8" s="1"/>
  <c r="P31" i="8"/>
  <c r="Q31" i="8" s="1"/>
  <c r="K11" i="8"/>
  <c r="K56" i="8" s="1"/>
  <c r="I11" i="8"/>
  <c r="I56" i="8" s="1"/>
  <c r="I64" i="8" s="1"/>
  <c r="I66" i="8" s="1"/>
  <c r="I50" i="8" s="1"/>
  <c r="P23" i="8"/>
  <c r="Q23" i="8" s="1"/>
  <c r="D11" i="8"/>
  <c r="D56" i="8" s="1"/>
  <c r="P20" i="8"/>
  <c r="Q20" i="8" s="1"/>
  <c r="J5" i="8"/>
  <c r="J55" i="8" s="1"/>
  <c r="J64" i="8" s="1"/>
  <c r="J66" i="8" s="1"/>
  <c r="J50" i="8" s="1"/>
  <c r="P9" i="8"/>
  <c r="Q9" i="8" s="1"/>
  <c r="P16" i="8"/>
  <c r="Q16" i="8" s="1"/>
  <c r="P29" i="8"/>
  <c r="Q29" i="8" s="1"/>
  <c r="F69" i="8"/>
  <c r="F70" i="8" s="1"/>
  <c r="F71" i="8" s="1"/>
  <c r="F64" i="8"/>
  <c r="F66" i="8" s="1"/>
  <c r="F50" i="8" s="1"/>
  <c r="H5" i="8"/>
  <c r="H55" i="8" s="1"/>
  <c r="H69" i="8" s="1"/>
  <c r="H70" i="8" s="1"/>
  <c r="C56" i="8"/>
  <c r="M69" i="8"/>
  <c r="M70" i="8" s="1"/>
  <c r="M64" i="8"/>
  <c r="M66" i="8" s="1"/>
  <c r="M50" i="8" s="1"/>
  <c r="G69" i="8"/>
  <c r="G70" i="8" s="1"/>
  <c r="G64" i="8"/>
  <c r="G66" i="8" s="1"/>
  <c r="G50" i="8" s="1"/>
  <c r="L64" i="8"/>
  <c r="L66" i="8" s="1"/>
  <c r="L50" i="8" s="1"/>
  <c r="L69" i="8"/>
  <c r="L70" i="8" s="1"/>
  <c r="I69" i="8"/>
  <c r="I70" i="8" s="1"/>
  <c r="E69" i="8"/>
  <c r="E70" i="8" s="1"/>
  <c r="P6" i="8"/>
  <c r="Q6" i="8" s="1"/>
  <c r="C5" i="8"/>
  <c r="X6" i="6"/>
  <c r="D5" i="6"/>
  <c r="G3" i="7"/>
  <c r="H3" i="7" s="1"/>
  <c r="E5" i="6"/>
  <c r="C3" i="7"/>
  <c r="D3" i="7" s="1"/>
  <c r="U6" i="6"/>
  <c r="Q6" i="6"/>
  <c r="T6" i="6"/>
  <c r="R6" i="6"/>
  <c r="V6" i="6"/>
  <c r="W6" i="6"/>
  <c r="C4" i="7"/>
  <c r="G4" i="7"/>
  <c r="F4" i="7"/>
  <c r="Y6" i="6"/>
  <c r="S6" i="6"/>
  <c r="B5" i="7"/>
  <c r="B6" i="7" s="1"/>
  <c r="Z6" i="6"/>
  <c r="O6" i="6"/>
  <c r="P6" i="6"/>
  <c r="C57" i="8" l="1"/>
  <c r="P57" i="8" s="1"/>
  <c r="Q57" i="8" s="1"/>
  <c r="P33" i="8"/>
  <c r="Q33" i="8" s="1"/>
  <c r="J69" i="8"/>
  <c r="J70" i="8" s="1"/>
  <c r="J72" i="8" s="1"/>
  <c r="N64" i="8"/>
  <c r="N66" i="8" s="1"/>
  <c r="N50" i="8" s="1"/>
  <c r="D64" i="8"/>
  <c r="D66" i="8" s="1"/>
  <c r="D50" i="8" s="1"/>
  <c r="E64" i="8"/>
  <c r="E66" i="8" s="1"/>
  <c r="E50" i="8" s="1"/>
  <c r="D72" i="8"/>
  <c r="H64" i="8"/>
  <c r="H66" i="8" s="1"/>
  <c r="H50" i="8" s="1"/>
  <c r="K64" i="8"/>
  <c r="K66" i="8" s="1"/>
  <c r="K50" i="8" s="1"/>
  <c r="P11" i="8"/>
  <c r="Q11" i="8" s="1"/>
  <c r="P56" i="8"/>
  <c r="Q56" i="8" s="1"/>
  <c r="D71" i="8"/>
  <c r="F72" i="8"/>
  <c r="I71" i="8"/>
  <c r="I72" i="8"/>
  <c r="G71" i="8"/>
  <c r="G72" i="8"/>
  <c r="N71" i="8"/>
  <c r="N72" i="8"/>
  <c r="H71" i="8"/>
  <c r="H72" i="8"/>
  <c r="K71" i="8"/>
  <c r="K72" i="8"/>
  <c r="J71" i="8"/>
  <c r="E71" i="8"/>
  <c r="E72" i="8"/>
  <c r="L71" i="8"/>
  <c r="L72" i="8"/>
  <c r="M71" i="8"/>
  <c r="M72" i="8"/>
  <c r="C55" i="8"/>
  <c r="P5" i="8"/>
  <c r="Q5" i="8" s="1"/>
  <c r="F5" i="6"/>
  <c r="D4" i="7"/>
  <c r="H4" i="7"/>
  <c r="C6" i="7"/>
  <c r="G6" i="7"/>
  <c r="F6" i="7"/>
  <c r="C5" i="7"/>
  <c r="D5" i="7" s="1"/>
  <c r="G5" i="7"/>
  <c r="F5" i="7"/>
  <c r="B7" i="7"/>
  <c r="C69" i="8" l="1"/>
  <c r="C70" i="8" s="1"/>
  <c r="C64" i="8"/>
  <c r="P55" i="8"/>
  <c r="H5" i="7"/>
  <c r="H6" i="7" s="1"/>
  <c r="D6" i="7"/>
  <c r="C7" i="7"/>
  <c r="F7" i="7"/>
  <c r="G7" i="7"/>
  <c r="B8" i="7"/>
  <c r="Q55" i="8" l="1"/>
  <c r="Q64" i="8" s="1"/>
  <c r="Q66" i="8" s="1"/>
  <c r="P64" i="8"/>
  <c r="P66" i="8" s="1"/>
  <c r="C66" i="8"/>
  <c r="C50" i="8" s="1"/>
  <c r="C71" i="8"/>
  <c r="C72" i="8"/>
  <c r="H7" i="7"/>
  <c r="D7" i="7"/>
  <c r="C8" i="7"/>
  <c r="G8" i="7"/>
  <c r="F8" i="7"/>
  <c r="B9" i="7"/>
  <c r="P35" i="5"/>
  <c r="Q35" i="5" s="1"/>
  <c r="P40" i="5"/>
  <c r="Q40" i="5" s="1"/>
  <c r="P41" i="5"/>
  <c r="Q41" i="5" s="1"/>
  <c r="P43" i="5"/>
  <c r="Q43" i="5" s="1"/>
  <c r="P44" i="5"/>
  <c r="Q44" i="5" s="1"/>
  <c r="P45" i="5"/>
  <c r="Q45" i="5" s="1"/>
  <c r="P47" i="5"/>
  <c r="Q47" i="5" s="1"/>
  <c r="C54" i="5"/>
  <c r="B55" i="5"/>
  <c r="O46" i="5"/>
  <c r="O60" i="5" s="1"/>
  <c r="D42" i="5"/>
  <c r="D59" i="5" s="1"/>
  <c r="E42" i="5"/>
  <c r="E59" i="5" s="1"/>
  <c r="F42" i="5"/>
  <c r="F59" i="5" s="1"/>
  <c r="G42" i="5"/>
  <c r="G59" i="5" s="1"/>
  <c r="H42" i="5"/>
  <c r="H59" i="5" s="1"/>
  <c r="I42" i="5"/>
  <c r="I59" i="5" s="1"/>
  <c r="J42" i="5"/>
  <c r="J59" i="5" s="1"/>
  <c r="K42" i="5"/>
  <c r="K59" i="5" s="1"/>
  <c r="L42" i="5"/>
  <c r="L59" i="5" s="1"/>
  <c r="M42" i="5"/>
  <c r="M59" i="5" s="1"/>
  <c r="N42" i="5"/>
  <c r="N59" i="5" s="1"/>
  <c r="O42" i="5"/>
  <c r="O59" i="5" s="1"/>
  <c r="C42" i="5"/>
  <c r="C59" i="5" s="1"/>
  <c r="D39" i="5"/>
  <c r="D58" i="5" s="1"/>
  <c r="E39" i="5"/>
  <c r="E58" i="5" s="1"/>
  <c r="F39" i="5"/>
  <c r="F58" i="5" s="1"/>
  <c r="F65" i="5" s="1"/>
  <c r="G39" i="5"/>
  <c r="G58" i="5" s="1"/>
  <c r="H39" i="5"/>
  <c r="H58" i="5" s="1"/>
  <c r="I39" i="5"/>
  <c r="I58" i="5" s="1"/>
  <c r="J39" i="5"/>
  <c r="J58" i="5" s="1"/>
  <c r="J65" i="5" s="1"/>
  <c r="K39" i="5"/>
  <c r="K58" i="5" s="1"/>
  <c r="L39" i="5"/>
  <c r="L58" i="5" s="1"/>
  <c r="M39" i="5"/>
  <c r="M58" i="5" s="1"/>
  <c r="N39" i="5"/>
  <c r="N58" i="5" s="1"/>
  <c r="N65" i="5" s="1"/>
  <c r="O39" i="5"/>
  <c r="O58" i="5" s="1"/>
  <c r="C39" i="5"/>
  <c r="O38" i="5"/>
  <c r="O34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D12" i="5"/>
  <c r="E12" i="5"/>
  <c r="F12" i="5"/>
  <c r="G12" i="5"/>
  <c r="H12" i="5"/>
  <c r="I12" i="5"/>
  <c r="J12" i="5"/>
  <c r="K12" i="5"/>
  <c r="L12" i="5"/>
  <c r="M12" i="5"/>
  <c r="N12" i="5"/>
  <c r="O12" i="5"/>
  <c r="C12" i="5"/>
  <c r="P12" i="5" s="1"/>
  <c r="Q12" i="5" s="1"/>
  <c r="B42" i="5"/>
  <c r="B59" i="5" s="1"/>
  <c r="B43" i="5"/>
  <c r="B44" i="5"/>
  <c r="B45" i="5"/>
  <c r="B46" i="5"/>
  <c r="B60" i="5" s="1"/>
  <c r="B47" i="5"/>
  <c r="B48" i="5"/>
  <c r="B49" i="5"/>
  <c r="B61" i="5" s="1"/>
  <c r="B50" i="5"/>
  <c r="B51" i="5"/>
  <c r="B52" i="5"/>
  <c r="B6" i="5"/>
  <c r="B7" i="5"/>
  <c r="B8" i="5"/>
  <c r="B9" i="5"/>
  <c r="B10" i="5"/>
  <c r="B11" i="5"/>
  <c r="B56" i="5" s="1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57" i="5" s="1"/>
  <c r="B34" i="5"/>
  <c r="B35" i="5"/>
  <c r="B36" i="5"/>
  <c r="B37" i="5"/>
  <c r="B38" i="5"/>
  <c r="B39" i="5"/>
  <c r="B58" i="5" s="1"/>
  <c r="B40" i="5"/>
  <c r="B41" i="5"/>
  <c r="B5" i="5"/>
  <c r="P50" i="8" l="1"/>
  <c r="Q50" i="8" s="1"/>
  <c r="C49" i="8"/>
  <c r="P29" i="5"/>
  <c r="Q29" i="5" s="1"/>
  <c r="P25" i="5"/>
  <c r="Q25" i="5" s="1"/>
  <c r="P21" i="5"/>
  <c r="Q21" i="5" s="1"/>
  <c r="P17" i="5"/>
  <c r="Q17" i="5" s="1"/>
  <c r="P13" i="5"/>
  <c r="Q13" i="5" s="1"/>
  <c r="O11" i="5"/>
  <c r="O56" i="5" s="1"/>
  <c r="G11" i="5"/>
  <c r="G56" i="5" s="1"/>
  <c r="N11" i="5"/>
  <c r="N56" i="5" s="1"/>
  <c r="J11" i="5"/>
  <c r="J56" i="5" s="1"/>
  <c r="F11" i="5"/>
  <c r="F56" i="5" s="1"/>
  <c r="P31" i="5"/>
  <c r="Q31" i="5" s="1"/>
  <c r="P27" i="5"/>
  <c r="Q27" i="5" s="1"/>
  <c r="P23" i="5"/>
  <c r="Q23" i="5" s="1"/>
  <c r="P19" i="5"/>
  <c r="Q19" i="5" s="1"/>
  <c r="P15" i="5"/>
  <c r="Q15" i="5" s="1"/>
  <c r="K11" i="5"/>
  <c r="K56" i="5" s="1"/>
  <c r="P32" i="5"/>
  <c r="Q32" i="5" s="1"/>
  <c r="P30" i="5"/>
  <c r="Q30" i="5" s="1"/>
  <c r="P28" i="5"/>
  <c r="Q28" i="5" s="1"/>
  <c r="P26" i="5"/>
  <c r="Q26" i="5" s="1"/>
  <c r="P24" i="5"/>
  <c r="Q24" i="5" s="1"/>
  <c r="P22" i="5"/>
  <c r="Q22" i="5" s="1"/>
  <c r="P20" i="5"/>
  <c r="Q20" i="5" s="1"/>
  <c r="P18" i="5"/>
  <c r="Q18" i="5" s="1"/>
  <c r="C11" i="5"/>
  <c r="L11" i="5"/>
  <c r="L56" i="5" s="1"/>
  <c r="H11" i="5"/>
  <c r="H56" i="5" s="1"/>
  <c r="D11" i="5"/>
  <c r="D56" i="5" s="1"/>
  <c r="P14" i="5"/>
  <c r="Q14" i="5" s="1"/>
  <c r="M11" i="5"/>
  <c r="M56" i="5" s="1"/>
  <c r="I11" i="5"/>
  <c r="I56" i="5" s="1"/>
  <c r="E11" i="5"/>
  <c r="E56" i="5" s="1"/>
  <c r="H8" i="7"/>
  <c r="D8" i="7"/>
  <c r="C9" i="7"/>
  <c r="G9" i="7"/>
  <c r="F9" i="7"/>
  <c r="B10" i="7"/>
  <c r="D65" i="5"/>
  <c r="H65" i="5"/>
  <c r="L65" i="5"/>
  <c r="O65" i="5"/>
  <c r="K65" i="5"/>
  <c r="G65" i="5"/>
  <c r="P16" i="5"/>
  <c r="Q16" i="5" s="1"/>
  <c r="M65" i="5"/>
  <c r="I65" i="5"/>
  <c r="E65" i="5"/>
  <c r="P39" i="5"/>
  <c r="Q39" i="5" s="1"/>
  <c r="P59" i="5"/>
  <c r="Q59" i="5" s="1"/>
  <c r="C56" i="5"/>
  <c r="P42" i="5"/>
  <c r="Q42" i="5" s="1"/>
  <c r="C58" i="5"/>
  <c r="O24" i="4"/>
  <c r="O6" i="5" s="1"/>
  <c r="O26" i="4"/>
  <c r="O27" i="4"/>
  <c r="O9" i="5" s="1"/>
  <c r="O28" i="4"/>
  <c r="O10" i="5" s="1"/>
  <c r="J26" i="4"/>
  <c r="J8" i="5" s="1"/>
  <c r="F24" i="4"/>
  <c r="F6" i="5" s="1"/>
  <c r="G24" i="4"/>
  <c r="G6" i="5" s="1"/>
  <c r="J24" i="4"/>
  <c r="J6" i="5" s="1"/>
  <c r="K24" i="4"/>
  <c r="K6" i="5" s="1"/>
  <c r="N24" i="4"/>
  <c r="N6" i="5" s="1"/>
  <c r="C25" i="4"/>
  <c r="C7" i="5" s="1"/>
  <c r="C24" i="4"/>
  <c r="F23" i="4"/>
  <c r="G23" i="4"/>
  <c r="J23" i="4"/>
  <c r="K23" i="4"/>
  <c r="C23" i="4"/>
  <c r="E19" i="4"/>
  <c r="F19" i="4"/>
  <c r="I19" i="4"/>
  <c r="J19" i="4"/>
  <c r="M19" i="4"/>
  <c r="N19" i="4"/>
  <c r="C14" i="4"/>
  <c r="C19" i="4" s="1"/>
  <c r="D14" i="4"/>
  <c r="D24" i="4" s="1"/>
  <c r="D6" i="5" s="1"/>
  <c r="E14" i="4"/>
  <c r="F14" i="4"/>
  <c r="G14" i="4"/>
  <c r="G19" i="4" s="1"/>
  <c r="H14" i="4"/>
  <c r="I14" i="4"/>
  <c r="J14" i="4"/>
  <c r="K14" i="4"/>
  <c r="K19" i="4" s="1"/>
  <c r="L14" i="4"/>
  <c r="M14" i="4"/>
  <c r="N14" i="4"/>
  <c r="C15" i="4"/>
  <c r="D15" i="4"/>
  <c r="D25" i="4" s="1"/>
  <c r="D7" i="5" s="1"/>
  <c r="E15" i="4"/>
  <c r="F15" i="4"/>
  <c r="F25" i="4" s="1"/>
  <c r="F7" i="5" s="1"/>
  <c r="G15" i="4"/>
  <c r="G25" i="4" s="1"/>
  <c r="H15" i="4"/>
  <c r="H25" i="4" s="1"/>
  <c r="H7" i="5" s="1"/>
  <c r="I15" i="4"/>
  <c r="J15" i="4"/>
  <c r="J25" i="4" s="1"/>
  <c r="J7" i="5" s="1"/>
  <c r="K15" i="4"/>
  <c r="K25" i="4" s="1"/>
  <c r="L15" i="4"/>
  <c r="L25" i="4" s="1"/>
  <c r="L7" i="5" s="1"/>
  <c r="M15" i="4"/>
  <c r="N15" i="4"/>
  <c r="O25" i="4" s="1"/>
  <c r="O7" i="5" s="1"/>
  <c r="C16" i="4"/>
  <c r="C26" i="4" s="1"/>
  <c r="C8" i="5" s="1"/>
  <c r="D16" i="4"/>
  <c r="E16" i="4"/>
  <c r="F26" i="4" s="1"/>
  <c r="F8" i="5" s="1"/>
  <c r="F16" i="4"/>
  <c r="G16" i="4"/>
  <c r="G26" i="4" s="1"/>
  <c r="G8" i="5" s="1"/>
  <c r="H16" i="4"/>
  <c r="H26" i="4" s="1"/>
  <c r="H8" i="5" s="1"/>
  <c r="I16" i="4"/>
  <c r="J16" i="4"/>
  <c r="K16" i="4"/>
  <c r="K26" i="4" s="1"/>
  <c r="K8" i="5" s="1"/>
  <c r="L16" i="4"/>
  <c r="L26" i="4" s="1"/>
  <c r="L8" i="5" s="1"/>
  <c r="M16" i="4"/>
  <c r="N16" i="4"/>
  <c r="N26" i="4" s="1"/>
  <c r="N8" i="5" s="1"/>
  <c r="C17" i="4"/>
  <c r="C27" i="4" s="1"/>
  <c r="C9" i="5" s="1"/>
  <c r="D17" i="4"/>
  <c r="D27" i="4" s="1"/>
  <c r="D9" i="5" s="1"/>
  <c r="E17" i="4"/>
  <c r="F17" i="4"/>
  <c r="F27" i="4" s="1"/>
  <c r="F9" i="5" s="1"/>
  <c r="G17" i="4"/>
  <c r="G27" i="4" s="1"/>
  <c r="G9" i="5" s="1"/>
  <c r="H17" i="4"/>
  <c r="H27" i="4" s="1"/>
  <c r="H9" i="5" s="1"/>
  <c r="I17" i="4"/>
  <c r="J17" i="4"/>
  <c r="J27" i="4" s="1"/>
  <c r="J9" i="5" s="1"/>
  <c r="K17" i="4"/>
  <c r="K27" i="4" s="1"/>
  <c r="K9" i="5" s="1"/>
  <c r="L17" i="4"/>
  <c r="L27" i="4" s="1"/>
  <c r="L9" i="5" s="1"/>
  <c r="M17" i="4"/>
  <c r="N17" i="4"/>
  <c r="N27" i="4" s="1"/>
  <c r="N9" i="5" s="1"/>
  <c r="C18" i="4"/>
  <c r="C28" i="4" s="1"/>
  <c r="C10" i="5" s="1"/>
  <c r="D18" i="4"/>
  <c r="D28" i="4" s="1"/>
  <c r="D10" i="5" s="1"/>
  <c r="E18" i="4"/>
  <c r="F28" i="4" s="1"/>
  <c r="F10" i="5" s="1"/>
  <c r="F18" i="4"/>
  <c r="G18" i="4"/>
  <c r="G28" i="4" s="1"/>
  <c r="G10" i="5" s="1"/>
  <c r="H18" i="4"/>
  <c r="H28" i="4" s="1"/>
  <c r="H10" i="5" s="1"/>
  <c r="I18" i="4"/>
  <c r="J28" i="4" s="1"/>
  <c r="J10" i="5" s="1"/>
  <c r="J18" i="4"/>
  <c r="K18" i="4"/>
  <c r="K28" i="4" s="1"/>
  <c r="K10" i="5" s="1"/>
  <c r="L18" i="4"/>
  <c r="L28" i="4" s="1"/>
  <c r="L10" i="5" s="1"/>
  <c r="M18" i="4"/>
  <c r="N28" i="4" s="1"/>
  <c r="N10" i="5" s="1"/>
  <c r="N18" i="4"/>
  <c r="D13" i="4"/>
  <c r="D23" i="4" s="1"/>
  <c r="E13" i="4"/>
  <c r="E23" i="4" s="1"/>
  <c r="F13" i="4"/>
  <c r="G13" i="4"/>
  <c r="H13" i="4"/>
  <c r="H23" i="4" s="1"/>
  <c r="I13" i="4"/>
  <c r="I23" i="4" s="1"/>
  <c r="J13" i="4"/>
  <c r="K13" i="4"/>
  <c r="L13" i="4"/>
  <c r="L23" i="4" s="1"/>
  <c r="M13" i="4"/>
  <c r="M23" i="4" s="1"/>
  <c r="N13" i="4"/>
  <c r="N23" i="4" s="1"/>
  <c r="C13" i="4"/>
  <c r="B7" i="4"/>
  <c r="B8" i="4"/>
  <c r="B9" i="4"/>
  <c r="B10" i="4"/>
  <c r="B6" i="4"/>
  <c r="D9" i="7" l="1"/>
  <c r="C61" i="8"/>
  <c r="C48" i="8"/>
  <c r="D5" i="5"/>
  <c r="D55" i="5" s="1"/>
  <c r="D26" i="4"/>
  <c r="D8" i="5" s="1"/>
  <c r="E26" i="4"/>
  <c r="E8" i="5" s="1"/>
  <c r="P8" i="5" s="1"/>
  <c r="Q8" i="5" s="1"/>
  <c r="L24" i="4"/>
  <c r="L19" i="4"/>
  <c r="K29" i="4"/>
  <c r="K7" i="5"/>
  <c r="K5" i="5" s="1"/>
  <c r="K55" i="5" s="1"/>
  <c r="E28" i="4"/>
  <c r="E10" i="5" s="1"/>
  <c r="J5" i="5"/>
  <c r="J55" i="5" s="1"/>
  <c r="F5" i="5"/>
  <c r="F55" i="5" s="1"/>
  <c r="H24" i="4"/>
  <c r="H19" i="4"/>
  <c r="R19" i="4" s="1"/>
  <c r="D19" i="4"/>
  <c r="I28" i="4"/>
  <c r="I10" i="5" s="1"/>
  <c r="D68" i="5"/>
  <c r="P10" i="5"/>
  <c r="Q10" i="5" s="1"/>
  <c r="G29" i="4"/>
  <c r="G7" i="5"/>
  <c r="G5" i="5"/>
  <c r="G55" i="5" s="1"/>
  <c r="G68" i="5" s="1"/>
  <c r="M27" i="4"/>
  <c r="I27" i="4"/>
  <c r="E27" i="4"/>
  <c r="M26" i="4"/>
  <c r="M8" i="5" s="1"/>
  <c r="I26" i="4"/>
  <c r="I8" i="5" s="1"/>
  <c r="M25" i="4"/>
  <c r="M7" i="5" s="1"/>
  <c r="I25" i="4"/>
  <c r="I7" i="5" s="1"/>
  <c r="E25" i="4"/>
  <c r="E7" i="5" s="1"/>
  <c r="M24" i="4"/>
  <c r="M6" i="5" s="1"/>
  <c r="I24" i="4"/>
  <c r="I6" i="5" s="1"/>
  <c r="E24" i="4"/>
  <c r="E6" i="5" s="1"/>
  <c r="C6" i="5"/>
  <c r="C29" i="4"/>
  <c r="M28" i="4"/>
  <c r="M10" i="5" s="1"/>
  <c r="O29" i="4"/>
  <c r="O8" i="5"/>
  <c r="J29" i="4"/>
  <c r="N25" i="4"/>
  <c r="P11" i="5"/>
  <c r="Q11" i="5" s="1"/>
  <c r="F29" i="4"/>
  <c r="O5" i="5"/>
  <c r="O55" i="5" s="1"/>
  <c r="H9" i="7"/>
  <c r="C10" i="7"/>
  <c r="D10" i="7" s="1"/>
  <c r="G10" i="7"/>
  <c r="F10" i="7"/>
  <c r="B11" i="7"/>
  <c r="P58" i="5"/>
  <c r="C65" i="5"/>
  <c r="P56" i="5"/>
  <c r="D29" i="4"/>
  <c r="B42" i="2"/>
  <c r="B43" i="2"/>
  <c r="B44" i="2"/>
  <c r="B45" i="2"/>
  <c r="B41" i="2"/>
  <c r="B33" i="2"/>
  <c r="B34" i="2"/>
  <c r="B35" i="2"/>
  <c r="B36" i="2"/>
  <c r="B37" i="2"/>
  <c r="B3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18" i="2"/>
  <c r="D15" i="2"/>
  <c r="E15" i="2"/>
  <c r="F15" i="2"/>
  <c r="G15" i="2"/>
  <c r="H15" i="2"/>
  <c r="I15" i="2"/>
  <c r="J15" i="2"/>
  <c r="K15" i="2"/>
  <c r="L15" i="2"/>
  <c r="M15" i="2"/>
  <c r="N15" i="2"/>
  <c r="C15" i="2"/>
  <c r="B10" i="2"/>
  <c r="B15" i="4" s="1"/>
  <c r="B25" i="4" s="1"/>
  <c r="B11" i="2"/>
  <c r="B16" i="4" s="1"/>
  <c r="B26" i="4" s="1"/>
  <c r="B12" i="2"/>
  <c r="B17" i="4" s="1"/>
  <c r="B27" i="4" s="1"/>
  <c r="B13" i="2"/>
  <c r="B18" i="4" s="1"/>
  <c r="B28" i="4" s="1"/>
  <c r="B9" i="2"/>
  <c r="B14" i="4" s="1"/>
  <c r="B24" i="4" s="1"/>
  <c r="C4" i="2"/>
  <c r="A2" i="8" l="1"/>
  <c r="I2" i="9"/>
  <c r="H10" i="7"/>
  <c r="D51" i="8"/>
  <c r="C46" i="8"/>
  <c r="C60" i="8" s="1"/>
  <c r="A2" i="6"/>
  <c r="K68" i="5"/>
  <c r="I37" i="5"/>
  <c r="H38" i="5"/>
  <c r="I36" i="5"/>
  <c r="H34" i="5"/>
  <c r="C5" i="5"/>
  <c r="L29" i="4"/>
  <c r="L6" i="5"/>
  <c r="L5" i="5" s="1"/>
  <c r="L55" i="5" s="1"/>
  <c r="E5" i="5"/>
  <c r="E55" i="5" s="1"/>
  <c r="E29" i="4"/>
  <c r="E9" i="5"/>
  <c r="H29" i="4"/>
  <c r="H6" i="5"/>
  <c r="H5" i="5" s="1"/>
  <c r="H55" i="5" s="1"/>
  <c r="O37" i="5"/>
  <c r="N34" i="5"/>
  <c r="N38" i="5"/>
  <c r="O36" i="5"/>
  <c r="O33" i="5" s="1"/>
  <c r="O57" i="5" s="1"/>
  <c r="O69" i="5" s="1"/>
  <c r="O70" i="5" s="1"/>
  <c r="K37" i="5"/>
  <c r="J34" i="5"/>
  <c r="J38" i="5"/>
  <c r="K36" i="5"/>
  <c r="F38" i="5"/>
  <c r="G37" i="5"/>
  <c r="F34" i="5"/>
  <c r="G36" i="5"/>
  <c r="O68" i="5"/>
  <c r="I5" i="5"/>
  <c r="I55" i="5" s="1"/>
  <c r="I29" i="4"/>
  <c r="R29" i="4" s="1"/>
  <c r="I9" i="5"/>
  <c r="F68" i="5"/>
  <c r="M37" i="5"/>
  <c r="L38" i="5"/>
  <c r="M36" i="5"/>
  <c r="L34" i="5"/>
  <c r="E37" i="5"/>
  <c r="D38" i="5"/>
  <c r="E36" i="5"/>
  <c r="D34" i="5"/>
  <c r="D37" i="5"/>
  <c r="C34" i="5"/>
  <c r="D36" i="5"/>
  <c r="C38" i="5"/>
  <c r="K38" i="5"/>
  <c r="L36" i="5"/>
  <c r="K34" i="5"/>
  <c r="L37" i="5"/>
  <c r="H36" i="5"/>
  <c r="G34" i="5"/>
  <c r="G38" i="5"/>
  <c r="H37" i="5"/>
  <c r="M34" i="5"/>
  <c r="M38" i="5"/>
  <c r="N36" i="5"/>
  <c r="N37" i="5"/>
  <c r="I34" i="5"/>
  <c r="J36" i="5"/>
  <c r="I38" i="5"/>
  <c r="J37" i="5"/>
  <c r="E34" i="5"/>
  <c r="F36" i="5"/>
  <c r="F37" i="5"/>
  <c r="E38" i="5"/>
  <c r="N29" i="4"/>
  <c r="N7" i="5"/>
  <c r="N5" i="5" s="1"/>
  <c r="N55" i="5" s="1"/>
  <c r="M5" i="5"/>
  <c r="M55" i="5" s="1"/>
  <c r="M29" i="4"/>
  <c r="M9" i="5"/>
  <c r="J68" i="5"/>
  <c r="C11" i="7"/>
  <c r="D11" i="7" s="1"/>
  <c r="F11" i="7"/>
  <c r="G11" i="7"/>
  <c r="H11" i="7" s="1"/>
  <c r="B12" i="7"/>
  <c r="A2" i="5"/>
  <c r="Q56" i="5"/>
  <c r="Q58" i="5"/>
  <c r="Q65" i="5" s="1"/>
  <c r="P65" i="5"/>
  <c r="C67" i="8" l="1"/>
  <c r="C62" i="8"/>
  <c r="D54" i="8" s="1"/>
  <c r="D52" i="8"/>
  <c r="D49" i="8" s="1"/>
  <c r="D61" i="8" s="1"/>
  <c r="M68" i="5"/>
  <c r="O71" i="5"/>
  <c r="O72" i="5"/>
  <c r="P6" i="5"/>
  <c r="Q6" i="5" s="1"/>
  <c r="N68" i="5"/>
  <c r="G33" i="5"/>
  <c r="G57" i="5" s="1"/>
  <c r="C33" i="5"/>
  <c r="P34" i="5"/>
  <c r="Q34" i="5" s="1"/>
  <c r="O64" i="5"/>
  <c r="O66" i="5" s="1"/>
  <c r="O50" i="5" s="1"/>
  <c r="P9" i="5"/>
  <c r="Q9" i="5" s="1"/>
  <c r="P38" i="5"/>
  <c r="Q38" i="5" s="1"/>
  <c r="H64" i="5"/>
  <c r="H66" i="5" s="1"/>
  <c r="H50" i="5" s="1"/>
  <c r="H68" i="5"/>
  <c r="E64" i="5"/>
  <c r="E66" i="5" s="1"/>
  <c r="E50" i="5" s="1"/>
  <c r="E68" i="5"/>
  <c r="K33" i="5"/>
  <c r="K57" i="5" s="1"/>
  <c r="P36" i="5"/>
  <c r="Q36" i="5" s="1"/>
  <c r="D33" i="5"/>
  <c r="D57" i="5" s="1"/>
  <c r="L33" i="5"/>
  <c r="L57" i="5" s="1"/>
  <c r="L69" i="5" s="1"/>
  <c r="L70" i="5" s="1"/>
  <c r="I68" i="5"/>
  <c r="F33" i="5"/>
  <c r="F57" i="5" s="1"/>
  <c r="J33" i="5"/>
  <c r="J57" i="5" s="1"/>
  <c r="N33" i="5"/>
  <c r="N57" i="5" s="1"/>
  <c r="N69" i="5" s="1"/>
  <c r="N70" i="5" s="1"/>
  <c r="L64" i="5"/>
  <c r="L66" i="5" s="1"/>
  <c r="L50" i="5" s="1"/>
  <c r="L68" i="5"/>
  <c r="H33" i="5"/>
  <c r="H57" i="5" s="1"/>
  <c r="H69" i="5" s="1"/>
  <c r="H70" i="5" s="1"/>
  <c r="E33" i="5"/>
  <c r="E57" i="5" s="1"/>
  <c r="E69" i="5" s="1"/>
  <c r="E70" i="5" s="1"/>
  <c r="I33" i="5"/>
  <c r="I57" i="5" s="1"/>
  <c r="I69" i="5" s="1"/>
  <c r="I70" i="5" s="1"/>
  <c r="M33" i="5"/>
  <c r="M57" i="5" s="1"/>
  <c r="M69" i="5" s="1"/>
  <c r="M70" i="5" s="1"/>
  <c r="P37" i="5"/>
  <c r="Q37" i="5" s="1"/>
  <c r="C55" i="5"/>
  <c r="P5" i="5"/>
  <c r="Q5" i="5" s="1"/>
  <c r="P7" i="5"/>
  <c r="Q7" i="5" s="1"/>
  <c r="C12" i="7"/>
  <c r="D12" i="7" s="1"/>
  <c r="G12" i="7"/>
  <c r="H12" i="7" s="1"/>
  <c r="F12" i="7"/>
  <c r="B13" i="7"/>
  <c r="D48" i="8" l="1"/>
  <c r="F69" i="5"/>
  <c r="F70" i="5" s="1"/>
  <c r="F64" i="5"/>
  <c r="F66" i="5" s="1"/>
  <c r="F50" i="5" s="1"/>
  <c r="I71" i="5"/>
  <c r="I72" i="5"/>
  <c r="P55" i="5"/>
  <c r="C68" i="5"/>
  <c r="C64" i="5"/>
  <c r="E71" i="5"/>
  <c r="E72" i="5"/>
  <c r="N71" i="5"/>
  <c r="N72" i="5"/>
  <c r="I64" i="5"/>
  <c r="I66" i="5" s="1"/>
  <c r="I50" i="5" s="1"/>
  <c r="K69" i="5"/>
  <c r="K70" i="5" s="1"/>
  <c r="K64" i="5"/>
  <c r="K66" i="5" s="1"/>
  <c r="K50" i="5" s="1"/>
  <c r="N64" i="5"/>
  <c r="N66" i="5" s="1"/>
  <c r="N50" i="5" s="1"/>
  <c r="M71" i="5"/>
  <c r="M72" i="5"/>
  <c r="D69" i="5"/>
  <c r="D70" i="5" s="1"/>
  <c r="D64" i="5"/>
  <c r="D66" i="5" s="1"/>
  <c r="D50" i="5" s="1"/>
  <c r="G69" i="5"/>
  <c r="G70" i="5" s="1"/>
  <c r="G64" i="5"/>
  <c r="G66" i="5" s="1"/>
  <c r="G50" i="5" s="1"/>
  <c r="H71" i="5"/>
  <c r="H72" i="5"/>
  <c r="J69" i="5"/>
  <c r="J70" i="5" s="1"/>
  <c r="J64" i="5"/>
  <c r="J66" i="5" s="1"/>
  <c r="J50" i="5" s="1"/>
  <c r="L71" i="5"/>
  <c r="L72" i="5"/>
  <c r="C57" i="5"/>
  <c r="P33" i="5"/>
  <c r="Q33" i="5" s="1"/>
  <c r="M64" i="5"/>
  <c r="M66" i="5" s="1"/>
  <c r="M50" i="5" s="1"/>
  <c r="C13" i="7"/>
  <c r="D13" i="7" s="1"/>
  <c r="G13" i="7"/>
  <c r="H13" i="7" s="1"/>
  <c r="F13" i="7"/>
  <c r="B14" i="7"/>
  <c r="D46" i="8" l="1"/>
  <c r="D60" i="8" s="1"/>
  <c r="D67" i="8" s="1"/>
  <c r="E51" i="8"/>
  <c r="E52" i="8" s="1"/>
  <c r="E49" i="8" s="1"/>
  <c r="E61" i="8" s="1"/>
  <c r="C66" i="5"/>
  <c r="C50" i="5" s="1"/>
  <c r="D71" i="5"/>
  <c r="D72" i="5"/>
  <c r="K71" i="5"/>
  <c r="K72" i="5"/>
  <c r="P57" i="5"/>
  <c r="Q57" i="5" s="1"/>
  <c r="C69" i="5"/>
  <c r="C70" i="5" s="1"/>
  <c r="J71" i="5"/>
  <c r="J72" i="5"/>
  <c r="G71" i="5"/>
  <c r="G72" i="5"/>
  <c r="Q55" i="5"/>
  <c r="F71" i="5"/>
  <c r="F72" i="5"/>
  <c r="C14" i="7"/>
  <c r="D14" i="7" s="1"/>
  <c r="G14" i="7"/>
  <c r="H14" i="7" s="1"/>
  <c r="F14" i="7"/>
  <c r="B15" i="7"/>
  <c r="D62" i="8" l="1"/>
  <c r="E54" i="8" s="1"/>
  <c r="C71" i="5"/>
  <c r="C72" i="5"/>
  <c r="P64" i="5"/>
  <c r="P66" i="5" s="1"/>
  <c r="Q64" i="5"/>
  <c r="Q66" i="5" s="1"/>
  <c r="C49" i="5"/>
  <c r="P50" i="5"/>
  <c r="Q50" i="5" s="1"/>
  <c r="C15" i="7"/>
  <c r="D15" i="7" s="1"/>
  <c r="F15" i="7"/>
  <c r="G15" i="7"/>
  <c r="H15" i="7" s="1"/>
  <c r="B16" i="7"/>
  <c r="E48" i="8" l="1"/>
  <c r="C61" i="5"/>
  <c r="C48" i="5"/>
  <c r="C16" i="7"/>
  <c r="D16" i="7" s="1"/>
  <c r="G16" i="7"/>
  <c r="H16" i="7" s="1"/>
  <c r="F16" i="7"/>
  <c r="B17" i="7"/>
  <c r="F51" i="8" l="1"/>
  <c r="E46" i="8"/>
  <c r="D51" i="5"/>
  <c r="D52" i="5" s="1"/>
  <c r="D49" i="5" s="1"/>
  <c r="D61" i="5" s="1"/>
  <c r="C46" i="5"/>
  <c r="C60" i="5" s="1"/>
  <c r="C17" i="7"/>
  <c r="D17" i="7" s="1"/>
  <c r="G17" i="7"/>
  <c r="H17" i="7" s="1"/>
  <c r="F17" i="7"/>
  <c r="B18" i="7"/>
  <c r="E60" i="8" l="1"/>
  <c r="F52" i="8"/>
  <c r="F49" i="8" s="1"/>
  <c r="C67" i="5"/>
  <c r="C62" i="5"/>
  <c r="D54" i="5" s="1"/>
  <c r="C18" i="7"/>
  <c r="D18" i="7" s="1"/>
  <c r="G18" i="7"/>
  <c r="H18" i="7" s="1"/>
  <c r="F18" i="7"/>
  <c r="B19" i="7"/>
  <c r="F61" i="8" l="1"/>
  <c r="E67" i="8"/>
  <c r="E62" i="8"/>
  <c r="D48" i="5"/>
  <c r="C19" i="7"/>
  <c r="D19" i="7" s="1"/>
  <c r="F19" i="7"/>
  <c r="G19" i="7"/>
  <c r="H19" i="7" s="1"/>
  <c r="B20" i="7"/>
  <c r="F54" i="8" l="1"/>
  <c r="D46" i="5"/>
  <c r="D60" i="5" s="1"/>
  <c r="E51" i="5"/>
  <c r="E52" i="5" s="1"/>
  <c r="E49" i="5" s="1"/>
  <c r="E61" i="5" s="1"/>
  <c r="C20" i="7"/>
  <c r="D20" i="7" s="1"/>
  <c r="G20" i="7"/>
  <c r="H20" i="7" s="1"/>
  <c r="F20" i="7"/>
  <c r="B21" i="7"/>
  <c r="F48" i="8" l="1"/>
  <c r="D67" i="5"/>
  <c r="D62" i="5"/>
  <c r="E54" i="5" s="1"/>
  <c r="C21" i="7"/>
  <c r="D21" i="7" s="1"/>
  <c r="G21" i="7"/>
  <c r="H21" i="7" s="1"/>
  <c r="F21" i="7"/>
  <c r="B22" i="7"/>
  <c r="G51" i="8" l="1"/>
  <c r="F46" i="8"/>
  <c r="E48" i="5"/>
  <c r="C22" i="7"/>
  <c r="D22" i="7" s="1"/>
  <c r="G22" i="7"/>
  <c r="H22" i="7" s="1"/>
  <c r="F22" i="7"/>
  <c r="B23" i="7"/>
  <c r="F60" i="8" l="1"/>
  <c r="G52" i="8"/>
  <c r="G49" i="8" s="1"/>
  <c r="E46" i="5"/>
  <c r="E60" i="5" s="1"/>
  <c r="F51" i="5"/>
  <c r="F52" i="5" s="1"/>
  <c r="F49" i="5" s="1"/>
  <c r="F61" i="5" s="1"/>
  <c r="C23" i="7"/>
  <c r="D23" i="7" s="1"/>
  <c r="F23" i="7"/>
  <c r="G23" i="7"/>
  <c r="H23" i="7" s="1"/>
  <c r="B24" i="7"/>
  <c r="G61" i="8" l="1"/>
  <c r="F67" i="8"/>
  <c r="F62" i="8"/>
  <c r="E67" i="5"/>
  <c r="E62" i="5"/>
  <c r="F54" i="5" s="1"/>
  <c r="F48" i="5" s="1"/>
  <c r="C24" i="7"/>
  <c r="D24" i="7" s="1"/>
  <c r="G24" i="7"/>
  <c r="H24" i="7" s="1"/>
  <c r="F24" i="7"/>
  <c r="B25" i="7"/>
  <c r="G54" i="8" l="1"/>
  <c r="F46" i="5"/>
  <c r="F60" i="5" s="1"/>
  <c r="G51" i="5"/>
  <c r="G52" i="5" s="1"/>
  <c r="G49" i="5" s="1"/>
  <c r="G61" i="5" s="1"/>
  <c r="C25" i="7"/>
  <c r="D25" i="7" s="1"/>
  <c r="G25" i="7"/>
  <c r="H25" i="7" s="1"/>
  <c r="F25" i="7"/>
  <c r="B26" i="7"/>
  <c r="G48" i="8" l="1"/>
  <c r="F62" i="5"/>
  <c r="G54" i="5" s="1"/>
  <c r="F67" i="5"/>
  <c r="C26" i="7"/>
  <c r="D26" i="7" s="1"/>
  <c r="F26" i="7"/>
  <c r="G26" i="7"/>
  <c r="H26" i="7" s="1"/>
  <c r="B27" i="7"/>
  <c r="H51" i="8" l="1"/>
  <c r="G46" i="8"/>
  <c r="G48" i="5"/>
  <c r="C27" i="7"/>
  <c r="D27" i="7" s="1"/>
  <c r="F27" i="7"/>
  <c r="G27" i="7"/>
  <c r="H27" i="7" s="1"/>
  <c r="B28" i="7"/>
  <c r="G60" i="8" l="1"/>
  <c r="H52" i="8"/>
  <c r="H49" i="8" s="1"/>
  <c r="H61" i="8" s="1"/>
  <c r="H51" i="5"/>
  <c r="G46" i="5"/>
  <c r="G60" i="5" s="1"/>
  <c r="C28" i="7"/>
  <c r="D28" i="7" s="1"/>
  <c r="G28" i="7"/>
  <c r="H28" i="7" s="1"/>
  <c r="F28" i="7"/>
  <c r="B29" i="7"/>
  <c r="G67" i="8" l="1"/>
  <c r="G62" i="8"/>
  <c r="G67" i="5"/>
  <c r="G62" i="5"/>
  <c r="H54" i="5" s="1"/>
  <c r="H52" i="5"/>
  <c r="H49" i="5" s="1"/>
  <c r="H61" i="5" s="1"/>
  <c r="C29" i="7"/>
  <c r="D29" i="7" s="1"/>
  <c r="G29" i="7"/>
  <c r="H29" i="7" s="1"/>
  <c r="F29" i="7"/>
  <c r="B30" i="7"/>
  <c r="H54" i="8" l="1"/>
  <c r="H48" i="5"/>
  <c r="C30" i="7"/>
  <c r="D30" i="7" s="1"/>
  <c r="G30" i="7"/>
  <c r="H30" i="7" s="1"/>
  <c r="F30" i="7"/>
  <c r="B31" i="7"/>
  <c r="H48" i="8" l="1"/>
  <c r="I51" i="5"/>
  <c r="H46" i="5"/>
  <c r="H60" i="5" s="1"/>
  <c r="C31" i="7"/>
  <c r="D31" i="7" s="1"/>
  <c r="F31" i="7"/>
  <c r="G31" i="7"/>
  <c r="H31" i="7" s="1"/>
  <c r="B32" i="7"/>
  <c r="H46" i="8" l="1"/>
  <c r="H60" i="8" s="1"/>
  <c r="I51" i="8"/>
  <c r="H67" i="5"/>
  <c r="H62" i="5"/>
  <c r="I54" i="5" s="1"/>
  <c r="I52" i="5"/>
  <c r="I49" i="5" s="1"/>
  <c r="I61" i="5" s="1"/>
  <c r="C32" i="7"/>
  <c r="D32" i="7" s="1"/>
  <c r="G32" i="7"/>
  <c r="H32" i="7" s="1"/>
  <c r="F32" i="7"/>
  <c r="B33" i="7"/>
  <c r="I52" i="8" l="1"/>
  <c r="I49" i="8" s="1"/>
  <c r="I61" i="8" s="1"/>
  <c r="H67" i="8"/>
  <c r="H62" i="8"/>
  <c r="I54" i="8" s="1"/>
  <c r="I48" i="5"/>
  <c r="C33" i="7"/>
  <c r="D33" i="7" s="1"/>
  <c r="G33" i="7"/>
  <c r="H33" i="7" s="1"/>
  <c r="F33" i="7"/>
  <c r="B34" i="7"/>
  <c r="I48" i="8" l="1"/>
  <c r="J51" i="5"/>
  <c r="I46" i="5"/>
  <c r="I60" i="5" s="1"/>
  <c r="C34" i="7"/>
  <c r="D34" i="7" s="1"/>
  <c r="F34" i="7"/>
  <c r="G34" i="7"/>
  <c r="H34" i="7" s="1"/>
  <c r="B35" i="7"/>
  <c r="J51" i="8" l="1"/>
  <c r="I46" i="8"/>
  <c r="I60" i="8" s="1"/>
  <c r="I67" i="5"/>
  <c r="I62" i="5"/>
  <c r="J54" i="5" s="1"/>
  <c r="J52" i="5"/>
  <c r="J49" i="5"/>
  <c r="J61" i="5" s="1"/>
  <c r="C35" i="7"/>
  <c r="D35" i="7" s="1"/>
  <c r="F35" i="7"/>
  <c r="G35" i="7"/>
  <c r="H35" i="7" s="1"/>
  <c r="B36" i="7"/>
  <c r="I67" i="8" l="1"/>
  <c r="I62" i="8"/>
  <c r="J54" i="8" s="1"/>
  <c r="J52" i="8"/>
  <c r="J49" i="8" s="1"/>
  <c r="J61" i="8" s="1"/>
  <c r="J48" i="5"/>
  <c r="C36" i="7"/>
  <c r="D36" i="7" s="1"/>
  <c r="G36" i="7"/>
  <c r="H36" i="7" s="1"/>
  <c r="F36" i="7"/>
  <c r="B37" i="7"/>
  <c r="J48" i="8" l="1"/>
  <c r="J46" i="5"/>
  <c r="J60" i="5" s="1"/>
  <c r="K51" i="5"/>
  <c r="K52" i="5" s="1"/>
  <c r="K49" i="5" s="1"/>
  <c r="K61" i="5" s="1"/>
  <c r="C37" i="7"/>
  <c r="D37" i="7" s="1"/>
  <c r="G37" i="7"/>
  <c r="H37" i="7" s="1"/>
  <c r="F37" i="7"/>
  <c r="B38" i="7"/>
  <c r="K51" i="8" l="1"/>
  <c r="J46" i="8"/>
  <c r="J60" i="8" s="1"/>
  <c r="J67" i="5"/>
  <c r="J62" i="5"/>
  <c r="K54" i="5" s="1"/>
  <c r="C38" i="7"/>
  <c r="D38" i="7" s="1"/>
  <c r="G38" i="7"/>
  <c r="H38" i="7" s="1"/>
  <c r="F38" i="7"/>
  <c r="B39" i="7"/>
  <c r="J67" i="8" l="1"/>
  <c r="J62" i="8"/>
  <c r="K54" i="8" s="1"/>
  <c r="K52" i="8"/>
  <c r="K49" i="8" s="1"/>
  <c r="K61" i="8" s="1"/>
  <c r="K48" i="5"/>
  <c r="C39" i="7"/>
  <c r="D39" i="7" s="1"/>
  <c r="F39" i="7"/>
  <c r="G39" i="7"/>
  <c r="H39" i="7" s="1"/>
  <c r="B40" i="7"/>
  <c r="K48" i="8" l="1"/>
  <c r="K46" i="5"/>
  <c r="K60" i="5" s="1"/>
  <c r="L51" i="5"/>
  <c r="L52" i="5" s="1"/>
  <c r="L49" i="5" s="1"/>
  <c r="L61" i="5" s="1"/>
  <c r="C40" i="7"/>
  <c r="D40" i="7" s="1"/>
  <c r="G40" i="7"/>
  <c r="H40" i="7" s="1"/>
  <c r="F40" i="7"/>
  <c r="B41" i="7"/>
  <c r="L51" i="8" l="1"/>
  <c r="K46" i="8"/>
  <c r="K60" i="8" s="1"/>
  <c r="K67" i="5"/>
  <c r="K62" i="5"/>
  <c r="L54" i="5" s="1"/>
  <c r="C41" i="7"/>
  <c r="D41" i="7" s="1"/>
  <c r="G41" i="7"/>
  <c r="H41" i="7" s="1"/>
  <c r="F41" i="7"/>
  <c r="B42" i="7"/>
  <c r="K67" i="8" l="1"/>
  <c r="K62" i="8"/>
  <c r="L54" i="8" s="1"/>
  <c r="L52" i="8"/>
  <c r="L49" i="8" s="1"/>
  <c r="L61" i="8" s="1"/>
  <c r="L48" i="5"/>
  <c r="C42" i="7"/>
  <c r="D42" i="7" s="1"/>
  <c r="G42" i="7"/>
  <c r="H42" i="7" s="1"/>
  <c r="F42" i="7"/>
  <c r="B43" i="7"/>
  <c r="L48" i="8" l="1"/>
  <c r="L46" i="5"/>
  <c r="L60" i="5" s="1"/>
  <c r="M51" i="5"/>
  <c r="M52" i="5" s="1"/>
  <c r="M49" i="5" s="1"/>
  <c r="M61" i="5" s="1"/>
  <c r="C43" i="7"/>
  <c r="D43" i="7" s="1"/>
  <c r="F43" i="7"/>
  <c r="G43" i="7"/>
  <c r="H43" i="7" s="1"/>
  <c r="B44" i="7"/>
  <c r="L46" i="8" l="1"/>
  <c r="L60" i="8" s="1"/>
  <c r="M51" i="8"/>
  <c r="L67" i="5"/>
  <c r="L62" i="5"/>
  <c r="M54" i="5" s="1"/>
  <c r="C44" i="7"/>
  <c r="D44" i="7" s="1"/>
  <c r="G44" i="7"/>
  <c r="H44" i="7" s="1"/>
  <c r="F44" i="7"/>
  <c r="B45" i="7"/>
  <c r="M52" i="8" l="1"/>
  <c r="M49" i="8" s="1"/>
  <c r="M61" i="8" s="1"/>
  <c r="L67" i="8"/>
  <c r="L62" i="8"/>
  <c r="M54" i="8" s="1"/>
  <c r="M48" i="5"/>
  <c r="C45" i="7"/>
  <c r="D45" i="7" s="1"/>
  <c r="G45" i="7"/>
  <c r="H45" i="7" s="1"/>
  <c r="F45" i="7"/>
  <c r="B46" i="7"/>
  <c r="M48" i="8" l="1"/>
  <c r="M46" i="5"/>
  <c r="N51" i="5"/>
  <c r="C46" i="7"/>
  <c r="D46" i="7" s="1"/>
  <c r="G46" i="7"/>
  <c r="H46" i="7" s="1"/>
  <c r="F46" i="7"/>
  <c r="B47" i="7"/>
  <c r="N51" i="8" l="1"/>
  <c r="M46" i="8"/>
  <c r="M60" i="8" s="1"/>
  <c r="N52" i="5"/>
  <c r="N49" i="5" s="1"/>
  <c r="N61" i="5" s="1"/>
  <c r="M60" i="5"/>
  <c r="C47" i="7"/>
  <c r="D47" i="7" s="1"/>
  <c r="F47" i="7"/>
  <c r="G47" i="7"/>
  <c r="H47" i="7" s="1"/>
  <c r="B48" i="7"/>
  <c r="M67" i="8" l="1"/>
  <c r="M62" i="8"/>
  <c r="N54" i="8" s="1"/>
  <c r="N52" i="8"/>
  <c r="N49" i="8" s="1"/>
  <c r="N61" i="8" s="1"/>
  <c r="M67" i="5"/>
  <c r="M62" i="5"/>
  <c r="N54" i="5" s="1"/>
  <c r="C48" i="7"/>
  <c r="D48" i="7" s="1"/>
  <c r="G48" i="7"/>
  <c r="H48" i="7" s="1"/>
  <c r="F48" i="7"/>
  <c r="B49" i="7"/>
  <c r="N48" i="8" l="1"/>
  <c r="N48" i="5"/>
  <c r="C49" i="7"/>
  <c r="D49" i="7" s="1"/>
  <c r="G49" i="7"/>
  <c r="H49" i="7" s="1"/>
  <c r="F49" i="7"/>
  <c r="B50" i="7"/>
  <c r="O51" i="8" l="1"/>
  <c r="N46" i="8"/>
  <c r="P48" i="8"/>
  <c r="Q48" i="8" s="1"/>
  <c r="O51" i="5"/>
  <c r="N46" i="5"/>
  <c r="P48" i="5"/>
  <c r="Q48" i="5" s="1"/>
  <c r="C50" i="7"/>
  <c r="D50" i="7" s="1"/>
  <c r="G50" i="7"/>
  <c r="H50" i="7" s="1"/>
  <c r="F50" i="7"/>
  <c r="B51" i="7"/>
  <c r="N60" i="8" l="1"/>
  <c r="P46" i="8"/>
  <c r="Q46" i="8" s="1"/>
  <c r="O52" i="8"/>
  <c r="P52" i="8" s="1"/>
  <c r="Q52" i="8" s="1"/>
  <c r="P51" i="8"/>
  <c r="Q51" i="8" s="1"/>
  <c r="N60" i="5"/>
  <c r="P46" i="5"/>
  <c r="Q46" i="5" s="1"/>
  <c r="O52" i="5"/>
  <c r="P52" i="5" s="1"/>
  <c r="Q52" i="5" s="1"/>
  <c r="O49" i="5"/>
  <c r="P51" i="5"/>
  <c r="Q51" i="5" s="1"/>
  <c r="C51" i="7"/>
  <c r="D51" i="7" s="1"/>
  <c r="F51" i="7"/>
  <c r="G51" i="7"/>
  <c r="H51" i="7" s="1"/>
  <c r="B52" i="7"/>
  <c r="O49" i="8" l="1"/>
  <c r="O61" i="8" s="1"/>
  <c r="N67" i="8"/>
  <c r="P60" i="8"/>
  <c r="N62" i="8"/>
  <c r="O54" i="8" s="1"/>
  <c r="P49" i="5"/>
  <c r="Q49" i="5" s="1"/>
  <c r="O61" i="5"/>
  <c r="N67" i="5"/>
  <c r="P60" i="5"/>
  <c r="N62" i="5"/>
  <c r="O54" i="5" s="1"/>
  <c r="C52" i="7"/>
  <c r="D52" i="7" s="1"/>
  <c r="G52" i="7"/>
  <c r="H52" i="7" s="1"/>
  <c r="F52" i="7"/>
  <c r="B53" i="7"/>
  <c r="P49" i="8" l="1"/>
  <c r="Q49" i="8" s="1"/>
  <c r="Q60" i="8"/>
  <c r="O62" i="8"/>
  <c r="P62" i="8" s="1"/>
  <c r="Q62" i="8" s="1"/>
  <c r="P54" i="8"/>
  <c r="Q54" i="8" s="1"/>
  <c r="O67" i="8"/>
  <c r="P61" i="8"/>
  <c r="Q61" i="8" s="1"/>
  <c r="O62" i="5"/>
  <c r="P62" i="5" s="1"/>
  <c r="Q62" i="5" s="1"/>
  <c r="P54" i="5"/>
  <c r="Q54" i="5" s="1"/>
  <c r="Q60" i="5"/>
  <c r="Q67" i="5" s="1"/>
  <c r="P67" i="5"/>
  <c r="P61" i="5"/>
  <c r="Q61" i="5" s="1"/>
  <c r="O67" i="5"/>
  <c r="C53" i="7"/>
  <c r="D53" i="7" s="1"/>
  <c r="G53" i="7"/>
  <c r="H53" i="7" s="1"/>
  <c r="F53" i="7"/>
  <c r="B54" i="7"/>
  <c r="P67" i="8" l="1"/>
  <c r="Q67" i="8"/>
  <c r="C54" i="7"/>
  <c r="D54" i="7" s="1"/>
  <c r="G54" i="7"/>
  <c r="H54" i="7" s="1"/>
  <c r="F54" i="7"/>
  <c r="B55" i="7"/>
  <c r="C55" i="7" l="1"/>
  <c r="D55" i="7" s="1"/>
  <c r="F55" i="7"/>
  <c r="G55" i="7"/>
  <c r="H55" i="7" s="1"/>
  <c r="B56" i="7"/>
  <c r="C56" i="7" l="1"/>
  <c r="D56" i="7" s="1"/>
  <c r="G56" i="7"/>
  <c r="H56" i="7" s="1"/>
  <c r="F56" i="7"/>
  <c r="B57" i="7"/>
  <c r="C57" i="7" l="1"/>
  <c r="D57" i="7" s="1"/>
  <c r="G57" i="7"/>
  <c r="H57" i="7" s="1"/>
  <c r="F57" i="7"/>
  <c r="B58" i="7"/>
  <c r="C58" i="7" l="1"/>
  <c r="D58" i="7" s="1"/>
  <c r="G58" i="7"/>
  <c r="H58" i="7" s="1"/>
  <c r="F58" i="7"/>
  <c r="B59" i="7"/>
  <c r="C59" i="7" l="1"/>
  <c r="D59" i="7" s="1"/>
  <c r="F59" i="7"/>
  <c r="G59" i="7"/>
  <c r="H59" i="7" s="1"/>
  <c r="B60" i="7"/>
  <c r="C60" i="7" l="1"/>
  <c r="D60" i="7" s="1"/>
  <c r="G60" i="7"/>
  <c r="H60" i="7" s="1"/>
  <c r="F60" i="7"/>
  <c r="B61" i="7"/>
  <c r="C61" i="7" l="1"/>
  <c r="D61" i="7" s="1"/>
  <c r="G61" i="7"/>
  <c r="H61" i="7" s="1"/>
  <c r="F61" i="7"/>
  <c r="B62" i="7"/>
  <c r="C62" i="7" l="1"/>
  <c r="D62" i="7" s="1"/>
  <c r="G62" i="7"/>
  <c r="H62" i="7" s="1"/>
  <c r="F62" i="7"/>
  <c r="B63" i="7"/>
  <c r="C63" i="7" l="1"/>
  <c r="D63" i="7" s="1"/>
  <c r="F63" i="7"/>
  <c r="G63" i="7"/>
  <c r="H63" i="7" s="1"/>
  <c r="B64" i="7"/>
  <c r="C64" i="7" l="1"/>
  <c r="D64" i="7" s="1"/>
  <c r="F64" i="7"/>
  <c r="G64" i="7"/>
  <c r="H64" i="7" s="1"/>
  <c r="B65" i="7"/>
  <c r="C65" i="7" l="1"/>
  <c r="D65" i="7" s="1"/>
  <c r="G65" i="7"/>
  <c r="H65" i="7" s="1"/>
  <c r="F65" i="7"/>
  <c r="B66" i="7"/>
  <c r="C66" i="7" l="1"/>
  <c r="D66" i="7" s="1"/>
  <c r="G66" i="7"/>
  <c r="H66" i="7" s="1"/>
  <c r="F66" i="7"/>
  <c r="B67" i="7"/>
  <c r="C67" i="7" l="1"/>
  <c r="D67" i="7" s="1"/>
  <c r="F67" i="7"/>
  <c r="G67" i="7"/>
  <c r="H67" i="7" s="1"/>
  <c r="B68" i="7"/>
  <c r="C68" i="7" l="1"/>
  <c r="D68" i="7" s="1"/>
  <c r="G68" i="7"/>
  <c r="H68" i="7" s="1"/>
  <c r="F68" i="7"/>
  <c r="B69" i="7"/>
  <c r="C69" i="7" l="1"/>
  <c r="D69" i="7" s="1"/>
  <c r="G69" i="7"/>
  <c r="H69" i="7" s="1"/>
  <c r="F69" i="7"/>
  <c r="B70" i="7"/>
  <c r="C70" i="7" l="1"/>
  <c r="D70" i="7" s="1"/>
  <c r="G70" i="7"/>
  <c r="H70" i="7" s="1"/>
  <c r="F70" i="7"/>
  <c r="B71" i="7"/>
  <c r="C71" i="7" l="1"/>
  <c r="D71" i="7" s="1"/>
  <c r="G71" i="7"/>
  <c r="H71" i="7" s="1"/>
  <c r="F71" i="7"/>
  <c r="B72" i="7"/>
  <c r="C72" i="7" l="1"/>
  <c r="D72" i="7" s="1"/>
  <c r="F72" i="7"/>
  <c r="G72" i="7"/>
  <c r="H72" i="7" s="1"/>
  <c r="B73" i="7"/>
  <c r="C73" i="7" l="1"/>
  <c r="D73" i="7" s="1"/>
  <c r="G73" i="7"/>
  <c r="H73" i="7" s="1"/>
  <c r="F73" i="7"/>
  <c r="B74" i="7"/>
  <c r="C74" i="7" l="1"/>
  <c r="D74" i="7" s="1"/>
  <c r="G74" i="7"/>
  <c r="H74" i="7" s="1"/>
  <c r="F74" i="7"/>
  <c r="B75" i="7"/>
  <c r="C75" i="7" l="1"/>
  <c r="D75" i="7" s="1"/>
  <c r="G75" i="7"/>
  <c r="H75" i="7" s="1"/>
  <c r="F75" i="7"/>
  <c r="B76" i="7"/>
  <c r="C76" i="7" l="1"/>
  <c r="D76" i="7" s="1"/>
  <c r="G76" i="7"/>
  <c r="H76" i="7" s="1"/>
  <c r="F76" i="7"/>
  <c r="B77" i="7"/>
  <c r="C77" i="7" l="1"/>
  <c r="D77" i="7" s="1"/>
  <c r="G77" i="7"/>
  <c r="H77" i="7" s="1"/>
  <c r="F77" i="7"/>
  <c r="B78" i="7"/>
  <c r="C78" i="7" l="1"/>
  <c r="D78" i="7" s="1"/>
  <c r="G78" i="7"/>
  <c r="H78" i="7" s="1"/>
  <c r="F78" i="7"/>
  <c r="B79" i="7"/>
  <c r="C79" i="7" l="1"/>
  <c r="D79" i="7" s="1"/>
  <c r="F79" i="7"/>
  <c r="G79" i="7"/>
  <c r="H79" i="7" s="1"/>
  <c r="B80" i="7"/>
  <c r="C80" i="7" l="1"/>
  <c r="D80" i="7" s="1"/>
  <c r="G80" i="7"/>
  <c r="H80" i="7" s="1"/>
  <c r="F80" i="7"/>
  <c r="B81" i="7"/>
  <c r="C81" i="7" l="1"/>
  <c r="D81" i="7" s="1"/>
  <c r="G81" i="7"/>
  <c r="H81" i="7" s="1"/>
  <c r="F81" i="7"/>
  <c r="B82" i="7"/>
  <c r="C82" i="7" l="1"/>
  <c r="D82" i="7" s="1"/>
  <c r="G82" i="7"/>
  <c r="H82" i="7" s="1"/>
  <c r="F82" i="7"/>
  <c r="B83" i="7"/>
  <c r="C83" i="7" l="1"/>
  <c r="D83" i="7" s="1"/>
  <c r="G83" i="7"/>
  <c r="H83" i="7" s="1"/>
  <c r="F83" i="7"/>
  <c r="B84" i="7"/>
  <c r="C84" i="7" l="1"/>
  <c r="D84" i="7" s="1"/>
  <c r="F84" i="7"/>
  <c r="G84" i="7"/>
  <c r="H84" i="7" s="1"/>
  <c r="B85" i="7"/>
  <c r="C85" i="7" l="1"/>
  <c r="D85" i="7" s="1"/>
  <c r="G85" i="7"/>
  <c r="H85" i="7" s="1"/>
  <c r="F85" i="7"/>
  <c r="B86" i="7"/>
  <c r="C86" i="7" l="1"/>
  <c r="D86" i="7" s="1"/>
  <c r="F86" i="7"/>
  <c r="G86" i="7"/>
  <c r="H86" i="7" s="1"/>
  <c r="B87" i="7"/>
  <c r="C87" i="7" l="1"/>
  <c r="D87" i="7" s="1"/>
  <c r="G87" i="7"/>
  <c r="H87" i="7" s="1"/>
  <c r="F87" i="7"/>
  <c r="B88" i="7"/>
  <c r="C88" i="7" l="1"/>
  <c r="D88" i="7" s="1"/>
  <c r="G88" i="7"/>
  <c r="H88" i="7" s="1"/>
  <c r="F88" i="7"/>
  <c r="B89" i="7"/>
  <c r="C89" i="7" l="1"/>
  <c r="D89" i="7" s="1"/>
  <c r="G89" i="7"/>
  <c r="H89" i="7" s="1"/>
  <c r="F89" i="7"/>
  <c r="B90" i="7"/>
  <c r="C90" i="7" l="1"/>
  <c r="D90" i="7" s="1"/>
  <c r="G90" i="7"/>
  <c r="H90" i="7" s="1"/>
  <c r="F90" i="7"/>
  <c r="B91" i="7"/>
  <c r="C91" i="7" l="1"/>
  <c r="D91" i="7" s="1"/>
  <c r="F91" i="7"/>
  <c r="G91" i="7"/>
  <c r="H91" i="7" s="1"/>
  <c r="B92" i="7"/>
  <c r="C92" i="7" l="1"/>
  <c r="D92" i="7" s="1"/>
  <c r="G92" i="7"/>
  <c r="H92" i="7" s="1"/>
  <c r="F92" i="7"/>
  <c r="B93" i="7"/>
  <c r="C93" i="7" l="1"/>
  <c r="D93" i="7" s="1"/>
  <c r="G93" i="7"/>
  <c r="H93" i="7" s="1"/>
  <c r="F93" i="7"/>
  <c r="B94" i="7"/>
  <c r="C94" i="7" l="1"/>
  <c r="D94" i="7" s="1"/>
  <c r="F94" i="7"/>
  <c r="G94" i="7"/>
  <c r="H94" i="7" s="1"/>
  <c r="B95" i="7"/>
  <c r="C95" i="7" l="1"/>
  <c r="D95" i="7" s="1"/>
  <c r="G95" i="7"/>
  <c r="H95" i="7" s="1"/>
  <c r="F95" i="7"/>
  <c r="B96" i="7"/>
  <c r="C96" i="7" l="1"/>
  <c r="D96" i="7" s="1"/>
  <c r="F96" i="7"/>
  <c r="G96" i="7"/>
  <c r="H96" i="7" s="1"/>
  <c r="B97" i="7"/>
  <c r="C97" i="7" l="1"/>
  <c r="D97" i="7" s="1"/>
  <c r="G97" i="7"/>
  <c r="H97" i="7" s="1"/>
  <c r="F97" i="7"/>
  <c r="B98" i="7"/>
  <c r="C98" i="7" l="1"/>
  <c r="D98" i="7" s="1"/>
  <c r="G98" i="7"/>
  <c r="H98" i="7" s="1"/>
  <c r="F98" i="7"/>
  <c r="B99" i="7"/>
  <c r="C99" i="7" l="1"/>
  <c r="D99" i="7" s="1"/>
  <c r="G99" i="7"/>
  <c r="H99" i="7" s="1"/>
  <c r="F99" i="7"/>
  <c r="B100" i="7"/>
  <c r="C100" i="7" l="1"/>
  <c r="D100" i="7" s="1"/>
  <c r="F100" i="7"/>
  <c r="G100" i="7"/>
  <c r="H100" i="7" s="1"/>
  <c r="B101" i="7"/>
  <c r="C101" i="7" l="1"/>
  <c r="D101" i="7" s="1"/>
  <c r="G101" i="7"/>
  <c r="H101" i="7" s="1"/>
  <c r="F101" i="7"/>
  <c r="B102" i="7"/>
  <c r="C102" i="7" l="1"/>
  <c r="D102" i="7" s="1"/>
  <c r="G102" i="7"/>
  <c r="H102" i="7" s="1"/>
  <c r="F102" i="7"/>
  <c r="B103" i="7"/>
  <c r="C103" i="7" l="1"/>
  <c r="D103" i="7" s="1"/>
  <c r="G103" i="7"/>
  <c r="H103" i="7" s="1"/>
  <c r="F103" i="7"/>
  <c r="B104" i="7"/>
  <c r="C104" i="7" l="1"/>
  <c r="D104" i="7" s="1"/>
  <c r="F104" i="7"/>
  <c r="G104" i="7"/>
  <c r="H104" i="7" s="1"/>
  <c r="B105" i="7"/>
  <c r="C105" i="7" l="1"/>
  <c r="D105" i="7" s="1"/>
  <c r="G105" i="7"/>
  <c r="H105" i="7" s="1"/>
  <c r="F105" i="7"/>
  <c r="B106" i="7"/>
  <c r="C106" i="7" l="1"/>
  <c r="D106" i="7" s="1"/>
  <c r="G106" i="7"/>
  <c r="H106" i="7" s="1"/>
  <c r="F106" i="7"/>
  <c r="B107" i="7"/>
  <c r="C107" i="7" l="1"/>
  <c r="D107" i="7" s="1"/>
  <c r="F107" i="7"/>
  <c r="G107" i="7"/>
  <c r="H107" i="7" s="1"/>
  <c r="B108" i="7"/>
  <c r="C108" i="7" l="1"/>
  <c r="D108" i="7" s="1"/>
  <c r="G108" i="7"/>
  <c r="H108" i="7" s="1"/>
  <c r="F108" i="7"/>
  <c r="B109" i="7"/>
  <c r="C109" i="7" l="1"/>
  <c r="D109" i="7" s="1"/>
  <c r="G109" i="7"/>
  <c r="H109" i="7" s="1"/>
  <c r="F109" i="7"/>
  <c r="B110" i="7"/>
  <c r="C110" i="7" l="1"/>
  <c r="D110" i="7" s="1"/>
  <c r="G110" i="7"/>
  <c r="H110" i="7" s="1"/>
  <c r="F110" i="7"/>
  <c r="B111" i="7"/>
  <c r="C111" i="7" l="1"/>
  <c r="D111" i="7" s="1"/>
  <c r="G111" i="7"/>
  <c r="H111" i="7" s="1"/>
  <c r="F111" i="7"/>
  <c r="B112" i="7"/>
  <c r="C112" i="7" l="1"/>
  <c r="D112" i="7" s="1"/>
  <c r="F112" i="7"/>
  <c r="G112" i="7"/>
  <c r="H112" i="7" s="1"/>
  <c r="B113" i="7"/>
  <c r="C113" i="7" l="1"/>
  <c r="D113" i="7" s="1"/>
  <c r="G113" i="7"/>
  <c r="H113" i="7" s="1"/>
  <c r="F113" i="7"/>
  <c r="B114" i="7"/>
  <c r="C114" i="7" l="1"/>
  <c r="D114" i="7" s="1"/>
  <c r="G114" i="7"/>
  <c r="H114" i="7" s="1"/>
  <c r="F114" i="7"/>
  <c r="B115" i="7"/>
  <c r="C115" i="7" l="1"/>
  <c r="D115" i="7" s="1"/>
  <c r="G115" i="7"/>
  <c r="H115" i="7" s="1"/>
  <c r="F115" i="7"/>
  <c r="B116" i="7"/>
  <c r="C116" i="7" l="1"/>
  <c r="D116" i="7" s="1"/>
  <c r="G116" i="7"/>
  <c r="H116" i="7" s="1"/>
  <c r="F116" i="7"/>
  <c r="B117" i="7"/>
  <c r="C117" i="7" l="1"/>
  <c r="D117" i="7" s="1"/>
  <c r="G117" i="7"/>
  <c r="H117" i="7" s="1"/>
  <c r="F117" i="7"/>
  <c r="B118" i="7"/>
  <c r="C118" i="7" l="1"/>
  <c r="D118" i="7" s="1"/>
  <c r="G118" i="7"/>
  <c r="H118" i="7" s="1"/>
  <c r="F118" i="7"/>
  <c r="B119" i="7"/>
  <c r="C119" i="7" l="1"/>
  <c r="D119" i="7" s="1"/>
  <c r="G119" i="7"/>
  <c r="H119" i="7" s="1"/>
  <c r="F119" i="7"/>
  <c r="B120" i="7"/>
  <c r="C120" i="7" l="1"/>
  <c r="D120" i="7" s="1"/>
  <c r="F120" i="7"/>
  <c r="G120" i="7"/>
  <c r="H120" i="7" s="1"/>
  <c r="B121" i="7"/>
  <c r="C121" i="7" l="1"/>
  <c r="D121" i="7" s="1"/>
  <c r="G121" i="7"/>
  <c r="H121" i="7" s="1"/>
  <c r="F121" i="7"/>
  <c r="B122" i="7"/>
  <c r="C122" i="7" l="1"/>
  <c r="D122" i="7" s="1"/>
  <c r="F122" i="7"/>
  <c r="G122" i="7"/>
  <c r="H122" i="7" s="1"/>
  <c r="B123" i="7"/>
  <c r="C123" i="7" l="1"/>
  <c r="D123" i="7" s="1"/>
  <c r="G123" i="7"/>
  <c r="H123" i="7" s="1"/>
  <c r="F123" i="7"/>
  <c r="B124" i="7"/>
  <c r="C124" i="7" l="1"/>
  <c r="D124" i="7" s="1"/>
  <c r="G124" i="7"/>
  <c r="H124" i="7" s="1"/>
  <c r="F124" i="7"/>
  <c r="B125" i="7"/>
  <c r="C125" i="7" l="1"/>
  <c r="D125" i="7" s="1"/>
  <c r="G125" i="7"/>
  <c r="H125" i="7" s="1"/>
  <c r="F125" i="7"/>
  <c r="B126" i="7"/>
  <c r="C126" i="7" l="1"/>
  <c r="D126" i="7" s="1"/>
  <c r="G126" i="7"/>
  <c r="H126" i="7" s="1"/>
  <c r="F126" i="7"/>
  <c r="B127" i="7"/>
  <c r="C127" i="7" l="1"/>
  <c r="D127" i="7" s="1"/>
  <c r="G127" i="7"/>
  <c r="H127" i="7" s="1"/>
  <c r="F127" i="7"/>
  <c r="B128" i="7"/>
  <c r="C128" i="7" l="1"/>
  <c r="D128" i="7" s="1"/>
  <c r="F128" i="7"/>
  <c r="G128" i="7"/>
  <c r="H128" i="7" s="1"/>
  <c r="B129" i="7"/>
  <c r="C129" i="7" l="1"/>
  <c r="D129" i="7" s="1"/>
  <c r="G129" i="7"/>
  <c r="H129" i="7" s="1"/>
  <c r="F129" i="7"/>
  <c r="B130" i="7"/>
  <c r="C130" i="7" l="1"/>
  <c r="D130" i="7" s="1"/>
  <c r="G130" i="7"/>
  <c r="H130" i="7" s="1"/>
  <c r="F130" i="7"/>
  <c r="B131" i="7"/>
  <c r="C131" i="7" l="1"/>
  <c r="D131" i="7" s="1"/>
  <c r="G131" i="7"/>
  <c r="H131" i="7" s="1"/>
  <c r="F131" i="7"/>
  <c r="B132" i="7"/>
  <c r="C132" i="7" l="1"/>
  <c r="D132" i="7" s="1"/>
  <c r="F132" i="7"/>
  <c r="G132" i="7"/>
  <c r="H132" i="7" s="1"/>
  <c r="B133" i="7"/>
  <c r="C133" i="7" l="1"/>
  <c r="D133" i="7" s="1"/>
  <c r="G133" i="7"/>
  <c r="H133" i="7" s="1"/>
  <c r="F133" i="7"/>
  <c r="B134" i="7"/>
  <c r="C134" i="7" l="1"/>
  <c r="D134" i="7" s="1"/>
  <c r="F134" i="7"/>
  <c r="G134" i="7"/>
  <c r="H134" i="7" s="1"/>
  <c r="B135" i="7"/>
  <c r="C135" i="7" l="1"/>
  <c r="D135" i="7" s="1"/>
  <c r="G135" i="7"/>
  <c r="H135" i="7" s="1"/>
  <c r="F135" i="7"/>
  <c r="B136" i="7"/>
  <c r="C136" i="7" l="1"/>
  <c r="D136" i="7" s="1"/>
  <c r="F136" i="7"/>
  <c r="G136" i="7"/>
  <c r="H136" i="7" s="1"/>
  <c r="B137" i="7"/>
  <c r="C137" i="7" l="1"/>
  <c r="D137" i="7" s="1"/>
  <c r="G137" i="7"/>
  <c r="H137" i="7" s="1"/>
  <c r="F137" i="7"/>
  <c r="B138" i="7"/>
  <c r="C138" i="7" l="1"/>
  <c r="D138" i="7" s="1"/>
  <c r="G138" i="7"/>
  <c r="H138" i="7" s="1"/>
  <c r="F138" i="7"/>
  <c r="B139" i="7"/>
  <c r="C139" i="7" l="1"/>
  <c r="D139" i="7" s="1"/>
  <c r="G139" i="7"/>
  <c r="H139" i="7" s="1"/>
  <c r="F139" i="7"/>
  <c r="B140" i="7"/>
  <c r="C140" i="7" l="1"/>
  <c r="D140" i="7" s="1"/>
  <c r="G140" i="7"/>
  <c r="H140" i="7" s="1"/>
  <c r="F140" i="7"/>
  <c r="B141" i="7"/>
  <c r="C141" i="7" l="1"/>
  <c r="D141" i="7" s="1"/>
  <c r="G141" i="7"/>
  <c r="H141" i="7" s="1"/>
  <c r="F141" i="7"/>
  <c r="B142" i="7"/>
  <c r="C142" i="7" l="1"/>
  <c r="D142" i="7" s="1"/>
  <c r="G142" i="7"/>
  <c r="H142" i="7" s="1"/>
  <c r="F142" i="7"/>
  <c r="B143" i="7"/>
  <c r="C143" i="7" l="1"/>
  <c r="D143" i="7" s="1"/>
  <c r="G143" i="7"/>
  <c r="H143" i="7" s="1"/>
  <c r="F143" i="7"/>
  <c r="B144" i="7"/>
  <c r="C144" i="7" l="1"/>
  <c r="D144" i="7" s="1"/>
  <c r="G144" i="7"/>
  <c r="H144" i="7" s="1"/>
  <c r="F144" i="7"/>
  <c r="B145" i="7"/>
  <c r="C145" i="7" l="1"/>
  <c r="D145" i="7" s="1"/>
  <c r="G145" i="7"/>
  <c r="H145" i="7" s="1"/>
  <c r="F145" i="7"/>
  <c r="B146" i="7"/>
  <c r="C146" i="7" l="1"/>
  <c r="D146" i="7" s="1"/>
  <c r="G146" i="7"/>
  <c r="H146" i="7" s="1"/>
  <c r="F146" i="7"/>
  <c r="B147" i="7"/>
  <c r="C147" i="7" l="1"/>
  <c r="D147" i="7" s="1"/>
  <c r="G147" i="7"/>
  <c r="H147" i="7" s="1"/>
  <c r="F147" i="7"/>
  <c r="B148" i="7"/>
  <c r="C148" i="7" l="1"/>
  <c r="D148" i="7" s="1"/>
  <c r="F148" i="7"/>
  <c r="G148" i="7"/>
  <c r="H148" i="7" s="1"/>
  <c r="B149" i="7"/>
  <c r="C149" i="7" l="1"/>
  <c r="D149" i="7" s="1"/>
  <c r="G149" i="7"/>
  <c r="H149" i="7" s="1"/>
  <c r="F149" i="7"/>
  <c r="B150" i="7"/>
  <c r="C150" i="7" l="1"/>
  <c r="D150" i="7" s="1"/>
  <c r="F150" i="7"/>
  <c r="G150" i="7"/>
  <c r="H150" i="7" s="1"/>
  <c r="B151" i="7"/>
  <c r="C151" i="7" l="1"/>
  <c r="D151" i="7" s="1"/>
  <c r="G151" i="7"/>
  <c r="H151" i="7" s="1"/>
  <c r="F151" i="7"/>
  <c r="B152" i="7"/>
  <c r="C152" i="7" l="1"/>
  <c r="D152" i="7" s="1"/>
  <c r="G152" i="7"/>
  <c r="H152" i="7" s="1"/>
  <c r="F152" i="7"/>
  <c r="B153" i="7"/>
  <c r="C153" i="7" l="1"/>
  <c r="D153" i="7" s="1"/>
  <c r="G153" i="7"/>
  <c r="H153" i="7" s="1"/>
  <c r="F153" i="7"/>
  <c r="B154" i="7"/>
  <c r="C154" i="7" l="1"/>
  <c r="D154" i="7" s="1"/>
  <c r="G154" i="7"/>
  <c r="H154" i="7" s="1"/>
  <c r="F154" i="7"/>
  <c r="B155" i="7"/>
  <c r="C155" i="7" l="1"/>
  <c r="D155" i="7" s="1"/>
  <c r="G155" i="7"/>
  <c r="H155" i="7" s="1"/>
  <c r="F155" i="7"/>
  <c r="B156" i="7"/>
  <c r="C156" i="7" l="1"/>
  <c r="D156" i="7" s="1"/>
  <c r="G156" i="7"/>
  <c r="H156" i="7" s="1"/>
  <c r="F156" i="7"/>
  <c r="B157" i="7"/>
  <c r="C157" i="7" l="1"/>
  <c r="D157" i="7" s="1"/>
  <c r="G157" i="7"/>
  <c r="H157" i="7" s="1"/>
  <c r="F157" i="7"/>
  <c r="B158" i="7"/>
  <c r="C158" i="7" l="1"/>
  <c r="D158" i="7" s="1"/>
  <c r="G158" i="7"/>
  <c r="H158" i="7" s="1"/>
  <c r="F158" i="7"/>
  <c r="B159" i="7"/>
  <c r="C159" i="7" l="1"/>
  <c r="D159" i="7" s="1"/>
  <c r="G159" i="7"/>
  <c r="H159" i="7" s="1"/>
  <c r="F159" i="7"/>
  <c r="B160" i="7"/>
  <c r="C160" i="7" l="1"/>
  <c r="D160" i="7" s="1"/>
  <c r="F160" i="7"/>
  <c r="G160" i="7"/>
  <c r="H160" i="7" s="1"/>
  <c r="B161" i="7"/>
  <c r="C161" i="7" l="1"/>
  <c r="D161" i="7" s="1"/>
  <c r="G161" i="7"/>
  <c r="H161" i="7" s="1"/>
  <c r="F161" i="7"/>
  <c r="B162" i="7"/>
  <c r="C162" i="7" l="1"/>
  <c r="D162" i="7" s="1"/>
  <c r="G162" i="7"/>
  <c r="H162" i="7" s="1"/>
  <c r="F162" i="7"/>
  <c r="B163" i="7"/>
  <c r="C163" i="7" l="1"/>
  <c r="D163" i="7" s="1"/>
  <c r="G163" i="7"/>
  <c r="H163" i="7" s="1"/>
  <c r="F163" i="7"/>
  <c r="B164" i="7"/>
  <c r="C164" i="7" l="1"/>
  <c r="D164" i="7" s="1"/>
  <c r="F164" i="7"/>
  <c r="G164" i="7"/>
  <c r="H164" i="7" s="1"/>
  <c r="B165" i="7"/>
  <c r="C165" i="7" l="1"/>
  <c r="D165" i="7" s="1"/>
  <c r="G165" i="7"/>
  <c r="H165" i="7" s="1"/>
  <c r="F165" i="7"/>
  <c r="B166" i="7"/>
  <c r="C166" i="7" l="1"/>
  <c r="D166" i="7" s="1"/>
  <c r="G166" i="7"/>
  <c r="H166" i="7" s="1"/>
  <c r="F166" i="7"/>
  <c r="B167" i="7"/>
  <c r="C167" i="7" l="1"/>
  <c r="D167" i="7" s="1"/>
  <c r="G167" i="7"/>
  <c r="H167" i="7" s="1"/>
  <c r="F167" i="7"/>
  <c r="B168" i="7"/>
  <c r="C168" i="7" l="1"/>
  <c r="D168" i="7" s="1"/>
  <c r="F168" i="7"/>
  <c r="G168" i="7"/>
  <c r="H168" i="7" s="1"/>
  <c r="B169" i="7"/>
  <c r="C169" i="7" l="1"/>
  <c r="D169" i="7" s="1"/>
  <c r="G169" i="7"/>
  <c r="H169" i="7" s="1"/>
  <c r="F169" i="7"/>
  <c r="B170" i="7"/>
  <c r="C170" i="7" l="1"/>
  <c r="D170" i="7" s="1"/>
  <c r="G170" i="7"/>
  <c r="H170" i="7" s="1"/>
  <c r="F170" i="7"/>
  <c r="B171" i="7"/>
  <c r="C171" i="7" l="1"/>
  <c r="D171" i="7" s="1"/>
  <c r="F171" i="7"/>
  <c r="G171" i="7"/>
  <c r="H171" i="7" s="1"/>
  <c r="B172" i="7"/>
  <c r="C172" i="7" l="1"/>
  <c r="D172" i="7" s="1"/>
  <c r="G172" i="7"/>
  <c r="H172" i="7" s="1"/>
  <c r="F172" i="7"/>
  <c r="B173" i="7"/>
  <c r="C173" i="7" l="1"/>
  <c r="D173" i="7" s="1"/>
  <c r="G173" i="7"/>
  <c r="H173" i="7" s="1"/>
  <c r="F173" i="7"/>
  <c r="B174" i="7"/>
  <c r="C174" i="7" l="1"/>
  <c r="D174" i="7" s="1"/>
  <c r="G174" i="7"/>
  <c r="H174" i="7" s="1"/>
  <c r="F174" i="7"/>
  <c r="B175" i="7"/>
  <c r="C175" i="7" l="1"/>
  <c r="D175" i="7" s="1"/>
  <c r="G175" i="7"/>
  <c r="H175" i="7" s="1"/>
  <c r="F175" i="7"/>
  <c r="B176" i="7"/>
  <c r="C176" i="7" l="1"/>
  <c r="D176" i="7" s="1"/>
  <c r="F176" i="7"/>
  <c r="G176" i="7"/>
  <c r="H176" i="7" s="1"/>
  <c r="B177" i="7"/>
  <c r="C177" i="7" l="1"/>
  <c r="D177" i="7" s="1"/>
  <c r="G177" i="7"/>
  <c r="H177" i="7" s="1"/>
  <c r="F177" i="7"/>
  <c r="B178" i="7"/>
  <c r="C178" i="7" l="1"/>
  <c r="D178" i="7" s="1"/>
  <c r="G178" i="7"/>
  <c r="H178" i="7" s="1"/>
  <c r="F178" i="7"/>
  <c r="B179" i="7"/>
  <c r="C179" i="7" l="1"/>
  <c r="D179" i="7" s="1"/>
  <c r="F179" i="7"/>
  <c r="G179" i="7"/>
  <c r="H179" i="7" s="1"/>
  <c r="B180" i="7"/>
  <c r="C180" i="7" l="1"/>
  <c r="D180" i="7" s="1"/>
  <c r="G180" i="7"/>
  <c r="H180" i="7" s="1"/>
  <c r="F180" i="7"/>
  <c r="B181" i="7"/>
  <c r="C181" i="7" l="1"/>
  <c r="D181" i="7" s="1"/>
  <c r="G181" i="7"/>
  <c r="H181" i="7" s="1"/>
  <c r="F181" i="7"/>
  <c r="B182" i="7"/>
  <c r="C182" i="7" l="1"/>
  <c r="D182" i="7" s="1"/>
  <c r="G182" i="7"/>
  <c r="H182" i="7" s="1"/>
  <c r="F182" i="7"/>
  <c r="B183" i="7"/>
  <c r="C183" i="7" l="1"/>
  <c r="D183" i="7" s="1"/>
  <c r="G183" i="7"/>
  <c r="H183" i="7" s="1"/>
  <c r="F183" i="7"/>
  <c r="B184" i="7"/>
  <c r="C184" i="7" l="1"/>
  <c r="D184" i="7" s="1"/>
  <c r="F184" i="7"/>
  <c r="G184" i="7"/>
  <c r="H184" i="7" s="1"/>
  <c r="B185" i="7"/>
  <c r="C185" i="7" l="1"/>
  <c r="D185" i="7" s="1"/>
  <c r="G185" i="7"/>
  <c r="H185" i="7" s="1"/>
  <c r="F185" i="7"/>
  <c r="B186" i="7"/>
  <c r="C186" i="7" l="1"/>
  <c r="D186" i="7" s="1"/>
  <c r="G186" i="7"/>
  <c r="H186" i="7" s="1"/>
  <c r="F186" i="7"/>
  <c r="B187" i="7"/>
  <c r="C187" i="7" l="1"/>
  <c r="D187" i="7" s="1"/>
  <c r="G187" i="7"/>
  <c r="H187" i="7" s="1"/>
  <c r="F187" i="7"/>
  <c r="B188" i="7"/>
  <c r="C188" i="7" l="1"/>
  <c r="D188" i="7" s="1"/>
  <c r="G188" i="7"/>
  <c r="H188" i="7" s="1"/>
  <c r="F188" i="7"/>
  <c r="B189" i="7"/>
  <c r="C189" i="7" l="1"/>
  <c r="D189" i="7" s="1"/>
  <c r="G189" i="7"/>
  <c r="H189" i="7" s="1"/>
  <c r="F189" i="7"/>
  <c r="B190" i="7"/>
  <c r="C190" i="7" l="1"/>
  <c r="D190" i="7" s="1"/>
  <c r="G190" i="7"/>
  <c r="H190" i="7" s="1"/>
  <c r="F190" i="7"/>
  <c r="B191" i="7"/>
  <c r="C191" i="7" l="1"/>
  <c r="D191" i="7" s="1"/>
  <c r="G191" i="7"/>
  <c r="H191" i="7" s="1"/>
  <c r="F191" i="7"/>
  <c r="B192" i="7"/>
  <c r="C192" i="7" l="1"/>
  <c r="D192" i="7" s="1"/>
  <c r="F192" i="7"/>
  <c r="G192" i="7"/>
  <c r="H192" i="7" s="1"/>
  <c r="B193" i="7"/>
  <c r="C193" i="7" l="1"/>
  <c r="D193" i="7" s="1"/>
  <c r="G193" i="7"/>
  <c r="H193" i="7" s="1"/>
  <c r="F193" i="7"/>
  <c r="B194" i="7"/>
  <c r="C194" i="7" l="1"/>
  <c r="D194" i="7" s="1"/>
  <c r="G194" i="7"/>
  <c r="H194" i="7" s="1"/>
  <c r="F194" i="7"/>
  <c r="B195" i="7"/>
  <c r="C195" i="7" l="1"/>
  <c r="D195" i="7" s="1"/>
  <c r="G195" i="7"/>
  <c r="H195" i="7" s="1"/>
  <c r="F195" i="7"/>
  <c r="B196" i="7"/>
  <c r="C196" i="7" l="1"/>
  <c r="D196" i="7" s="1"/>
  <c r="F196" i="7"/>
  <c r="G196" i="7"/>
  <c r="H196" i="7" s="1"/>
  <c r="B197" i="7"/>
  <c r="C197" i="7" l="1"/>
  <c r="D197" i="7" s="1"/>
  <c r="G197" i="7"/>
  <c r="H197" i="7" s="1"/>
  <c r="F197" i="7"/>
  <c r="B198" i="7"/>
  <c r="C198" i="7" l="1"/>
  <c r="D198" i="7" s="1"/>
  <c r="G198" i="7"/>
  <c r="H198" i="7" s="1"/>
  <c r="F198" i="7"/>
  <c r="B199" i="7"/>
  <c r="C199" i="7" l="1"/>
  <c r="D199" i="7" s="1"/>
  <c r="G199" i="7"/>
  <c r="H199" i="7" s="1"/>
  <c r="F199" i="7"/>
  <c r="B200" i="7"/>
  <c r="C200" i="7" l="1"/>
  <c r="D200" i="7" s="1"/>
  <c r="F200" i="7"/>
  <c r="G200" i="7"/>
  <c r="H200" i="7" s="1"/>
  <c r="B201" i="7"/>
  <c r="C201" i="7" l="1"/>
  <c r="D201" i="7" s="1"/>
  <c r="G201" i="7"/>
  <c r="H201" i="7" s="1"/>
  <c r="F201" i="7"/>
  <c r="B202" i="7"/>
  <c r="C202" i="7" l="1"/>
  <c r="D202" i="7" s="1"/>
  <c r="G202" i="7"/>
  <c r="H202" i="7" s="1"/>
  <c r="F202" i="7"/>
  <c r="B203" i="7"/>
  <c r="C203" i="7" l="1"/>
  <c r="D203" i="7" s="1"/>
  <c r="G203" i="7"/>
  <c r="H203" i="7" s="1"/>
  <c r="F203" i="7"/>
  <c r="B204" i="7"/>
  <c r="C204" i="7" l="1"/>
  <c r="D204" i="7" s="1"/>
  <c r="G204" i="7"/>
  <c r="H204" i="7" s="1"/>
  <c r="F204" i="7"/>
  <c r="B205" i="7"/>
  <c r="C205" i="7" l="1"/>
  <c r="D205" i="7" s="1"/>
  <c r="G205" i="7"/>
  <c r="H205" i="7" s="1"/>
  <c r="F205" i="7"/>
  <c r="B206" i="7"/>
  <c r="C206" i="7" l="1"/>
  <c r="D206" i="7" s="1"/>
  <c r="G206" i="7"/>
  <c r="H206" i="7" s="1"/>
  <c r="F206" i="7"/>
  <c r="B207" i="7"/>
  <c r="C207" i="7" l="1"/>
  <c r="D207" i="7" s="1"/>
  <c r="G207" i="7"/>
  <c r="H207" i="7" s="1"/>
  <c r="F207" i="7"/>
  <c r="B208" i="7"/>
  <c r="C208" i="7" l="1"/>
  <c r="D208" i="7" s="1"/>
  <c r="G208" i="7"/>
  <c r="H208" i="7" s="1"/>
  <c r="F208" i="7"/>
  <c r="B209" i="7"/>
  <c r="C209" i="7" l="1"/>
  <c r="D209" i="7" s="1"/>
  <c r="G209" i="7"/>
  <c r="H209" i="7" s="1"/>
  <c r="F209" i="7"/>
  <c r="B210" i="7"/>
  <c r="C210" i="7" l="1"/>
  <c r="D210" i="7" s="1"/>
  <c r="G210" i="7"/>
  <c r="H210" i="7" s="1"/>
  <c r="F210" i="7"/>
  <c r="B211" i="7"/>
  <c r="C211" i="7" l="1"/>
  <c r="D211" i="7" s="1"/>
  <c r="G211" i="7"/>
  <c r="H211" i="7" s="1"/>
  <c r="F211" i="7"/>
  <c r="B212" i="7"/>
  <c r="C212" i="7" l="1"/>
  <c r="D212" i="7" s="1"/>
  <c r="F212" i="7"/>
  <c r="G212" i="7"/>
  <c r="H212" i="7" s="1"/>
  <c r="B213" i="7"/>
  <c r="C213" i="7" l="1"/>
  <c r="D213" i="7" s="1"/>
  <c r="G213" i="7"/>
  <c r="H213" i="7" s="1"/>
  <c r="F213" i="7"/>
  <c r="B214" i="7"/>
  <c r="C214" i="7" l="1"/>
  <c r="D214" i="7" s="1"/>
  <c r="F214" i="7"/>
  <c r="G214" i="7"/>
  <c r="H214" i="7" s="1"/>
  <c r="B215" i="7"/>
  <c r="C215" i="7" l="1"/>
  <c r="D215" i="7" s="1"/>
  <c r="G215" i="7"/>
  <c r="H215" i="7" s="1"/>
  <c r="F215" i="7"/>
  <c r="B216" i="7"/>
  <c r="C216" i="7" l="1"/>
  <c r="D216" i="7" s="1"/>
  <c r="G216" i="7"/>
  <c r="H216" i="7" s="1"/>
  <c r="F216" i="7"/>
  <c r="B217" i="7"/>
  <c r="C217" i="7" l="1"/>
  <c r="D217" i="7" s="1"/>
  <c r="G217" i="7"/>
  <c r="H217" i="7" s="1"/>
  <c r="F217" i="7"/>
  <c r="B218" i="7"/>
  <c r="C218" i="7" l="1"/>
  <c r="D218" i="7" s="1"/>
  <c r="G218" i="7"/>
  <c r="H218" i="7" s="1"/>
  <c r="F218" i="7"/>
  <c r="B219" i="7"/>
  <c r="C219" i="7" l="1"/>
  <c r="D219" i="7" s="1"/>
  <c r="F219" i="7"/>
  <c r="G219" i="7"/>
  <c r="H219" i="7" s="1"/>
  <c r="B220" i="7"/>
  <c r="C220" i="7" l="1"/>
  <c r="D220" i="7" s="1"/>
  <c r="G220" i="7"/>
  <c r="H220" i="7" s="1"/>
  <c r="F220" i="7"/>
  <c r="B221" i="7"/>
  <c r="C221" i="7" l="1"/>
  <c r="D221" i="7" s="1"/>
  <c r="G221" i="7"/>
  <c r="H221" i="7" s="1"/>
  <c r="F221" i="7"/>
  <c r="B222" i="7"/>
  <c r="C222" i="7" l="1"/>
  <c r="D222" i="7" s="1"/>
  <c r="F222" i="7"/>
  <c r="G222" i="7"/>
  <c r="H222" i="7" s="1"/>
  <c r="B223" i="7"/>
  <c r="C223" i="7" l="1"/>
  <c r="D223" i="7" s="1"/>
  <c r="G223" i="7"/>
  <c r="H223" i="7" s="1"/>
  <c r="F223" i="7"/>
  <c r="B224" i="7"/>
  <c r="C224" i="7" l="1"/>
  <c r="D224" i="7" s="1"/>
  <c r="F224" i="7"/>
  <c r="G224" i="7"/>
  <c r="H224" i="7" s="1"/>
  <c r="B225" i="7"/>
  <c r="C225" i="7" l="1"/>
  <c r="D225" i="7" s="1"/>
  <c r="G225" i="7"/>
  <c r="H225" i="7" s="1"/>
  <c r="F225" i="7"/>
  <c r="B226" i="7"/>
  <c r="C226" i="7" l="1"/>
  <c r="D226" i="7" s="1"/>
  <c r="G226" i="7"/>
  <c r="H226" i="7" s="1"/>
  <c r="F226" i="7"/>
  <c r="B227" i="7"/>
  <c r="C227" i="7" l="1"/>
  <c r="D227" i="7" s="1"/>
  <c r="G227" i="7"/>
  <c r="H227" i="7" s="1"/>
  <c r="F227" i="7"/>
  <c r="B228" i="7"/>
  <c r="C228" i="7" l="1"/>
  <c r="D228" i="7" s="1"/>
  <c r="F228" i="7"/>
  <c r="G228" i="7"/>
  <c r="H228" i="7" s="1"/>
  <c r="B229" i="7"/>
  <c r="C229" i="7" l="1"/>
  <c r="D229" i="7" s="1"/>
  <c r="G229" i="7"/>
  <c r="H229" i="7" s="1"/>
  <c r="F229" i="7"/>
  <c r="B230" i="7"/>
  <c r="C230" i="7" l="1"/>
  <c r="D230" i="7" s="1"/>
  <c r="G230" i="7"/>
  <c r="H230" i="7" s="1"/>
  <c r="F230" i="7"/>
  <c r="B231" i="7"/>
  <c r="C231" i="7" l="1"/>
  <c r="D231" i="7" s="1"/>
  <c r="G231" i="7"/>
  <c r="H231" i="7" s="1"/>
  <c r="F231" i="7"/>
  <c r="B232" i="7"/>
  <c r="C232" i="7" l="1"/>
  <c r="D232" i="7" s="1"/>
  <c r="F232" i="7"/>
  <c r="G232" i="7"/>
  <c r="H232" i="7" s="1"/>
  <c r="B233" i="7"/>
  <c r="C233" i="7" l="1"/>
  <c r="D233" i="7" s="1"/>
  <c r="G233" i="7"/>
  <c r="H233" i="7" s="1"/>
  <c r="F233" i="7"/>
  <c r="B234" i="7"/>
  <c r="C234" i="7" l="1"/>
  <c r="D234" i="7" s="1"/>
  <c r="G234" i="7"/>
  <c r="H234" i="7" s="1"/>
  <c r="F234" i="7"/>
  <c r="B235" i="7"/>
  <c r="C235" i="7" l="1"/>
  <c r="D235" i="7" s="1"/>
  <c r="F235" i="7"/>
  <c r="G235" i="7"/>
  <c r="H235" i="7" s="1"/>
  <c r="B236" i="7"/>
  <c r="C236" i="7" l="1"/>
  <c r="D236" i="7" s="1"/>
  <c r="G236" i="7"/>
  <c r="H236" i="7" s="1"/>
  <c r="F236" i="7"/>
  <c r="B237" i="7"/>
  <c r="C237" i="7" l="1"/>
  <c r="D237" i="7" s="1"/>
  <c r="G237" i="7"/>
  <c r="H237" i="7" s="1"/>
  <c r="F237" i="7"/>
  <c r="B238" i="7"/>
  <c r="C238" i="7" l="1"/>
  <c r="D238" i="7" s="1"/>
  <c r="G238" i="7"/>
  <c r="H238" i="7" s="1"/>
  <c r="F238" i="7"/>
  <c r="B239" i="7"/>
  <c r="C239" i="7" l="1"/>
  <c r="D239" i="7" s="1"/>
  <c r="G239" i="7"/>
  <c r="H239" i="7" s="1"/>
  <c r="F239" i="7"/>
  <c r="B240" i="7"/>
  <c r="C240" i="7" l="1"/>
  <c r="D240" i="7" s="1"/>
  <c r="F240" i="7"/>
  <c r="G240" i="7"/>
  <c r="H240" i="7" s="1"/>
  <c r="B241" i="7"/>
  <c r="C241" i="7" l="1"/>
  <c r="D241" i="7" s="1"/>
  <c r="G241" i="7"/>
  <c r="H241" i="7" s="1"/>
  <c r="F241" i="7"/>
  <c r="B242" i="7"/>
  <c r="C242" i="7" l="1"/>
  <c r="D242" i="7" s="1"/>
  <c r="G242" i="7"/>
  <c r="H242" i="7" s="1"/>
  <c r="F242" i="7"/>
  <c r="B243" i="7"/>
  <c r="C243" i="7" l="1"/>
  <c r="D243" i="7" s="1"/>
  <c r="G243" i="7"/>
  <c r="H243" i="7" s="1"/>
  <c r="F243" i="7"/>
  <c r="B244" i="7"/>
  <c r="C244" i="7" l="1"/>
  <c r="D244" i="7" s="1"/>
  <c r="G244" i="7"/>
  <c r="H244" i="7" s="1"/>
  <c r="F244" i="7"/>
  <c r="B245" i="7"/>
  <c r="C245" i="7" l="1"/>
  <c r="D245" i="7" s="1"/>
  <c r="G245" i="7"/>
  <c r="H245" i="7" s="1"/>
  <c r="F245" i="7"/>
  <c r="B246" i="7"/>
  <c r="C246" i="7" l="1"/>
  <c r="D246" i="7" s="1"/>
  <c r="F246" i="7"/>
  <c r="G246" i="7"/>
  <c r="H246" i="7" s="1"/>
  <c r="B247" i="7"/>
  <c r="C247" i="7" l="1"/>
  <c r="D247" i="7" s="1"/>
  <c r="G247" i="7"/>
  <c r="H247" i="7" s="1"/>
  <c r="F247" i="7"/>
  <c r="B248" i="7"/>
  <c r="C248" i="7" l="1"/>
  <c r="D248" i="7" s="1"/>
  <c r="F248" i="7"/>
  <c r="G248" i="7"/>
  <c r="H248" i="7" s="1"/>
  <c r="B249" i="7"/>
  <c r="C249" i="7" l="1"/>
  <c r="D249" i="7" s="1"/>
  <c r="G249" i="7"/>
  <c r="H249" i="7" s="1"/>
  <c r="F249" i="7"/>
  <c r="B250" i="7"/>
  <c r="C250" i="7" l="1"/>
  <c r="D250" i="7" s="1"/>
  <c r="G250" i="7"/>
  <c r="H250" i="7" s="1"/>
  <c r="F250" i="7"/>
  <c r="B251" i="7"/>
  <c r="C251" i="7" l="1"/>
  <c r="D251" i="7" s="1"/>
  <c r="G251" i="7"/>
  <c r="H251" i="7" s="1"/>
  <c r="F251" i="7"/>
  <c r="B252" i="7"/>
  <c r="C252" i="7" l="1"/>
  <c r="D252" i="7" s="1"/>
  <c r="G252" i="7"/>
  <c r="H252" i="7" s="1"/>
  <c r="F252" i="7"/>
  <c r="B253" i="7"/>
  <c r="C253" i="7" l="1"/>
  <c r="D253" i="7" s="1"/>
  <c r="G253" i="7"/>
  <c r="H253" i="7" s="1"/>
  <c r="F253" i="7"/>
  <c r="B254" i="7"/>
  <c r="C254" i="7" l="1"/>
  <c r="D254" i="7" s="1"/>
  <c r="G254" i="7"/>
  <c r="H254" i="7" s="1"/>
  <c r="F254" i="7"/>
  <c r="B255" i="7"/>
  <c r="C255" i="7" l="1"/>
  <c r="D255" i="7" s="1"/>
  <c r="G255" i="7"/>
  <c r="H255" i="7" s="1"/>
  <c r="F255" i="7"/>
  <c r="B256" i="7"/>
  <c r="C256" i="7" l="1"/>
  <c r="D256" i="7" s="1"/>
  <c r="F256" i="7"/>
  <c r="G256" i="7"/>
  <c r="H256" i="7" s="1"/>
  <c r="B257" i="7"/>
  <c r="C257" i="7" l="1"/>
  <c r="D257" i="7" s="1"/>
  <c r="G257" i="7"/>
  <c r="H257" i="7" s="1"/>
  <c r="F257" i="7"/>
  <c r="B258" i="7"/>
  <c r="C258" i="7" l="1"/>
  <c r="D258" i="7" s="1"/>
  <c r="G258" i="7"/>
  <c r="H258" i="7" s="1"/>
  <c r="F258" i="7"/>
  <c r="B259" i="7"/>
  <c r="C259" i="7" l="1"/>
  <c r="D259" i="7" s="1"/>
  <c r="G259" i="7"/>
  <c r="H259" i="7" s="1"/>
  <c r="F259" i="7"/>
  <c r="B260" i="7"/>
  <c r="C260" i="7" l="1"/>
  <c r="D260" i="7" s="1"/>
  <c r="F260" i="7"/>
  <c r="G260" i="7"/>
  <c r="H260" i="7" s="1"/>
  <c r="B261" i="7"/>
  <c r="C261" i="7" l="1"/>
  <c r="D261" i="7" s="1"/>
  <c r="G261" i="7"/>
  <c r="H261" i="7" s="1"/>
  <c r="F261" i="7"/>
  <c r="B262" i="7"/>
  <c r="C262" i="7" l="1"/>
  <c r="D262" i="7" s="1"/>
  <c r="F262" i="7"/>
  <c r="G262" i="7"/>
  <c r="H262" i="7" s="1"/>
  <c r="B263" i="7"/>
  <c r="C263" i="7" l="1"/>
  <c r="D263" i="7" s="1"/>
  <c r="G263" i="7"/>
  <c r="H263" i="7" s="1"/>
  <c r="F263" i="7"/>
  <c r="B264" i="7"/>
  <c r="C264" i="7" l="1"/>
  <c r="D264" i="7" s="1"/>
  <c r="F264" i="7"/>
  <c r="G264" i="7"/>
  <c r="H264" i="7" s="1"/>
  <c r="B265" i="7"/>
  <c r="C265" i="7" l="1"/>
  <c r="D265" i="7" s="1"/>
  <c r="G265" i="7"/>
  <c r="H265" i="7" s="1"/>
  <c r="F265" i="7"/>
  <c r="B266" i="7"/>
  <c r="C266" i="7" l="1"/>
  <c r="D266" i="7" s="1"/>
  <c r="G266" i="7"/>
  <c r="H266" i="7" s="1"/>
  <c r="F266" i="7"/>
  <c r="B267" i="7"/>
  <c r="C267" i="7" l="1"/>
  <c r="D267" i="7" s="1"/>
  <c r="F267" i="7"/>
  <c r="G267" i="7"/>
  <c r="H267" i="7" s="1"/>
  <c r="B268" i="7"/>
  <c r="C268" i="7" l="1"/>
  <c r="D268" i="7" s="1"/>
  <c r="G268" i="7"/>
  <c r="H268" i="7" s="1"/>
  <c r="F268" i="7"/>
  <c r="B269" i="7"/>
  <c r="C269" i="7" l="1"/>
  <c r="D269" i="7" s="1"/>
  <c r="G269" i="7"/>
  <c r="H269" i="7" s="1"/>
  <c r="F269" i="7"/>
  <c r="B270" i="7"/>
  <c r="C270" i="7" l="1"/>
  <c r="D270" i="7" s="1"/>
  <c r="G270" i="7"/>
  <c r="H270" i="7" s="1"/>
  <c r="F270" i="7"/>
  <c r="B271" i="7"/>
  <c r="C271" i="7" l="1"/>
  <c r="D271" i="7" s="1"/>
  <c r="G271" i="7"/>
  <c r="H271" i="7" s="1"/>
  <c r="F271" i="7"/>
  <c r="B272" i="7"/>
  <c r="C272" i="7" l="1"/>
  <c r="D272" i="7" s="1"/>
  <c r="G272" i="7"/>
  <c r="H272" i="7" s="1"/>
  <c r="F272" i="7"/>
  <c r="B273" i="7"/>
  <c r="C273" i="7" l="1"/>
  <c r="D273" i="7" s="1"/>
  <c r="G273" i="7"/>
  <c r="H273" i="7" s="1"/>
  <c r="F273" i="7"/>
  <c r="B274" i="7"/>
  <c r="C274" i="7" l="1"/>
  <c r="D274" i="7" s="1"/>
  <c r="G274" i="7"/>
  <c r="H274" i="7" s="1"/>
  <c r="F274" i="7"/>
  <c r="B275" i="7"/>
  <c r="C275" i="7" l="1"/>
  <c r="D275" i="7" s="1"/>
  <c r="G275" i="7"/>
  <c r="H275" i="7" s="1"/>
  <c r="F275" i="7"/>
  <c r="B276" i="7"/>
  <c r="C276" i="7" l="1"/>
  <c r="D276" i="7" s="1"/>
  <c r="F276" i="7"/>
  <c r="G276" i="7"/>
  <c r="H276" i="7" s="1"/>
  <c r="B277" i="7"/>
  <c r="C277" i="7" l="1"/>
  <c r="D277" i="7" s="1"/>
  <c r="G277" i="7"/>
  <c r="H277" i="7" s="1"/>
  <c r="F277" i="7"/>
  <c r="B278" i="7"/>
  <c r="C278" i="7" l="1"/>
  <c r="D278" i="7" s="1"/>
  <c r="G278" i="7"/>
  <c r="H278" i="7" s="1"/>
  <c r="F278" i="7"/>
  <c r="B279" i="7"/>
  <c r="C279" i="7" l="1"/>
  <c r="D279" i="7" s="1"/>
  <c r="G279" i="7"/>
  <c r="H279" i="7" s="1"/>
  <c r="F279" i="7"/>
  <c r="B280" i="7"/>
  <c r="C280" i="7" l="1"/>
  <c r="D280" i="7" s="1"/>
  <c r="G280" i="7"/>
  <c r="H280" i="7" s="1"/>
  <c r="F280" i="7"/>
  <c r="B281" i="7"/>
  <c r="C281" i="7" l="1"/>
  <c r="D281" i="7" s="1"/>
  <c r="G281" i="7"/>
  <c r="H281" i="7" s="1"/>
  <c r="F281" i="7"/>
  <c r="B282" i="7"/>
  <c r="C282" i="7" l="1"/>
  <c r="D282" i="7" s="1"/>
  <c r="G282" i="7"/>
  <c r="H282" i="7" s="1"/>
  <c r="F282" i="7"/>
  <c r="B283" i="7"/>
  <c r="C283" i="7" l="1"/>
  <c r="D283" i="7" s="1"/>
  <c r="F283" i="7"/>
  <c r="G283" i="7"/>
  <c r="H283" i="7" s="1"/>
  <c r="B284" i="7"/>
  <c r="C284" i="7" l="1"/>
  <c r="D284" i="7" s="1"/>
  <c r="G284" i="7"/>
  <c r="H284" i="7" s="1"/>
  <c r="F284" i="7"/>
  <c r="B285" i="7"/>
  <c r="C285" i="7" l="1"/>
  <c r="D285" i="7" s="1"/>
  <c r="G285" i="7"/>
  <c r="H285" i="7" s="1"/>
  <c r="F285" i="7"/>
  <c r="B286" i="7"/>
  <c r="C286" i="7" l="1"/>
  <c r="D286" i="7" s="1"/>
  <c r="F286" i="7"/>
  <c r="G286" i="7"/>
  <c r="H286" i="7" s="1"/>
  <c r="B287" i="7"/>
  <c r="C287" i="7" l="1"/>
  <c r="D287" i="7" s="1"/>
  <c r="G287" i="7"/>
  <c r="H287" i="7" s="1"/>
  <c r="F287" i="7"/>
  <c r="B288" i="7"/>
  <c r="C288" i="7" l="1"/>
  <c r="D288" i="7" s="1"/>
  <c r="F288" i="7"/>
  <c r="G288" i="7"/>
  <c r="H288" i="7" s="1"/>
  <c r="B289" i="7"/>
  <c r="C289" i="7" l="1"/>
  <c r="D289" i="7" s="1"/>
  <c r="G289" i="7"/>
  <c r="H289" i="7" s="1"/>
  <c r="F289" i="7"/>
  <c r="B290" i="7"/>
  <c r="C290" i="7" l="1"/>
  <c r="D290" i="7" s="1"/>
  <c r="G290" i="7"/>
  <c r="H290" i="7" s="1"/>
  <c r="F290" i="7"/>
  <c r="B291" i="7"/>
  <c r="C291" i="7" l="1"/>
  <c r="D291" i="7" s="1"/>
  <c r="G291" i="7"/>
  <c r="H291" i="7" s="1"/>
  <c r="F291" i="7"/>
  <c r="B292" i="7"/>
  <c r="C292" i="7" l="1"/>
  <c r="D292" i="7" s="1"/>
  <c r="F292" i="7"/>
  <c r="G292" i="7"/>
  <c r="H292" i="7" s="1"/>
  <c r="B293" i="7"/>
  <c r="C293" i="7" l="1"/>
  <c r="D293" i="7" s="1"/>
  <c r="G293" i="7"/>
  <c r="H293" i="7" s="1"/>
  <c r="F293" i="7"/>
  <c r="B294" i="7"/>
  <c r="C294" i="7" l="1"/>
  <c r="D294" i="7" s="1"/>
  <c r="G294" i="7"/>
  <c r="H294" i="7" s="1"/>
  <c r="F294" i="7"/>
  <c r="B295" i="7"/>
  <c r="C295" i="7" l="1"/>
  <c r="D295" i="7" s="1"/>
  <c r="G295" i="7"/>
  <c r="H295" i="7" s="1"/>
  <c r="F295" i="7"/>
  <c r="B296" i="7"/>
  <c r="C296" i="7" l="1"/>
  <c r="D296" i="7" s="1"/>
  <c r="F296" i="7"/>
  <c r="G296" i="7"/>
  <c r="H296" i="7" s="1"/>
  <c r="B297" i="7"/>
  <c r="C297" i="7" l="1"/>
  <c r="D297" i="7" s="1"/>
  <c r="G297" i="7"/>
  <c r="H297" i="7" s="1"/>
  <c r="F297" i="7"/>
  <c r="B298" i="7"/>
  <c r="C298" i="7" l="1"/>
  <c r="D298" i="7" s="1"/>
  <c r="G298" i="7"/>
  <c r="H298" i="7" s="1"/>
  <c r="F298" i="7"/>
  <c r="B299" i="7"/>
  <c r="C299" i="7" l="1"/>
  <c r="D299" i="7" s="1"/>
  <c r="F299" i="7"/>
  <c r="G299" i="7"/>
  <c r="H299" i="7" s="1"/>
  <c r="B300" i="7"/>
  <c r="C300" i="7" l="1"/>
  <c r="D300" i="7" s="1"/>
  <c r="G300" i="7"/>
  <c r="H300" i="7" s="1"/>
  <c r="F300" i="7"/>
  <c r="B301" i="7"/>
  <c r="C301" i="7" l="1"/>
  <c r="D301" i="7" s="1"/>
  <c r="G301" i="7"/>
  <c r="H301" i="7" s="1"/>
  <c r="F301" i="7"/>
  <c r="B302" i="7"/>
  <c r="C302" i="7" l="1"/>
  <c r="D302" i="7" s="1"/>
  <c r="G302" i="7"/>
  <c r="H302" i="7" s="1"/>
  <c r="F302" i="7"/>
  <c r="B303" i="7"/>
  <c r="C303" i="7" l="1"/>
  <c r="D303" i="7" s="1"/>
  <c r="G303" i="7"/>
  <c r="H303" i="7" s="1"/>
  <c r="F303" i="7"/>
  <c r="B304" i="7"/>
  <c r="C304" i="7" l="1"/>
  <c r="D304" i="7" s="1"/>
  <c r="F304" i="7"/>
  <c r="G304" i="7"/>
  <c r="H304" i="7" s="1"/>
  <c r="B305" i="7"/>
  <c r="C305" i="7" l="1"/>
  <c r="D305" i="7" s="1"/>
  <c r="G305" i="7"/>
  <c r="H305" i="7" s="1"/>
  <c r="F305" i="7"/>
  <c r="B306" i="7"/>
  <c r="C306" i="7" l="1"/>
  <c r="D306" i="7" s="1"/>
  <c r="G306" i="7"/>
  <c r="H306" i="7" s="1"/>
  <c r="F306" i="7"/>
  <c r="B307" i="7"/>
  <c r="C307" i="7" l="1"/>
  <c r="D307" i="7" s="1"/>
  <c r="G307" i="7"/>
  <c r="H307" i="7" s="1"/>
  <c r="F307" i="7"/>
  <c r="B308" i="7"/>
  <c r="C308" i="7" l="1"/>
  <c r="D308" i="7" s="1"/>
  <c r="G308" i="7"/>
  <c r="H308" i="7" s="1"/>
  <c r="F308" i="7"/>
  <c r="B309" i="7"/>
  <c r="C309" i="7" l="1"/>
  <c r="D309" i="7" s="1"/>
  <c r="G309" i="7"/>
  <c r="H309" i="7" s="1"/>
  <c r="F309" i="7"/>
  <c r="B310" i="7"/>
  <c r="C310" i="7" l="1"/>
  <c r="D310" i="7" s="1"/>
  <c r="F310" i="7"/>
  <c r="G310" i="7"/>
  <c r="H310" i="7" s="1"/>
  <c r="B311" i="7"/>
  <c r="C311" i="7" l="1"/>
  <c r="D311" i="7" s="1"/>
  <c r="G311" i="7"/>
  <c r="H311" i="7" s="1"/>
  <c r="F311" i="7"/>
  <c r="B312" i="7"/>
  <c r="C312" i="7" l="1"/>
  <c r="D312" i="7" s="1"/>
  <c r="F312" i="7"/>
  <c r="G312" i="7"/>
  <c r="H312" i="7" s="1"/>
  <c r="B313" i="7"/>
  <c r="C313" i="7" l="1"/>
  <c r="D313" i="7" s="1"/>
  <c r="G313" i="7"/>
  <c r="H313" i="7" s="1"/>
  <c r="F313" i="7"/>
  <c r="B314" i="7"/>
  <c r="C314" i="7" l="1"/>
  <c r="D314" i="7" s="1"/>
  <c r="F314" i="7"/>
  <c r="G314" i="7"/>
  <c r="H314" i="7" s="1"/>
  <c r="B315" i="7"/>
  <c r="C315" i="7" l="1"/>
  <c r="D315" i="7" s="1"/>
  <c r="G315" i="7"/>
  <c r="H315" i="7" s="1"/>
  <c r="F315" i="7"/>
  <c r="B316" i="7"/>
  <c r="C316" i="7" l="1"/>
  <c r="D316" i="7" s="1"/>
  <c r="G316" i="7"/>
  <c r="H316" i="7" s="1"/>
  <c r="F316" i="7"/>
  <c r="B317" i="7"/>
  <c r="C317" i="7" l="1"/>
  <c r="D317" i="7" s="1"/>
  <c r="G317" i="7"/>
  <c r="H317" i="7" s="1"/>
  <c r="F317" i="7"/>
  <c r="B318" i="7"/>
  <c r="C318" i="7" l="1"/>
  <c r="D318" i="7" s="1"/>
  <c r="G318" i="7"/>
  <c r="H318" i="7" s="1"/>
  <c r="F318" i="7"/>
  <c r="B319" i="7"/>
  <c r="C319" i="7" l="1"/>
  <c r="D319" i="7" s="1"/>
  <c r="G319" i="7"/>
  <c r="H319" i="7" s="1"/>
  <c r="F319" i="7"/>
  <c r="B320" i="7"/>
  <c r="C320" i="7" l="1"/>
  <c r="D320" i="7" s="1"/>
  <c r="F320" i="7"/>
  <c r="G320" i="7"/>
  <c r="H320" i="7" s="1"/>
  <c r="B321" i="7"/>
  <c r="C321" i="7" l="1"/>
  <c r="D321" i="7" s="1"/>
  <c r="G321" i="7"/>
  <c r="H321" i="7" s="1"/>
  <c r="F321" i="7"/>
  <c r="B322" i="7"/>
  <c r="C322" i="7" l="1"/>
  <c r="D322" i="7" s="1"/>
  <c r="G322" i="7"/>
  <c r="H322" i="7" s="1"/>
  <c r="F322" i="7"/>
  <c r="B323" i="7"/>
  <c r="C323" i="7" l="1"/>
  <c r="D323" i="7" s="1"/>
  <c r="G323" i="7"/>
  <c r="H323" i="7" s="1"/>
  <c r="F323" i="7"/>
  <c r="B324" i="7"/>
  <c r="C324" i="7" l="1"/>
  <c r="D324" i="7" s="1"/>
  <c r="F324" i="7"/>
  <c r="G324" i="7"/>
  <c r="H324" i="7" s="1"/>
  <c r="B325" i="7"/>
  <c r="C325" i="7" l="1"/>
  <c r="D325" i="7" s="1"/>
  <c r="G325" i="7"/>
  <c r="H325" i="7" s="1"/>
  <c r="F325" i="7"/>
  <c r="B326" i="7"/>
  <c r="C326" i="7" l="1"/>
  <c r="D326" i="7" s="1"/>
  <c r="G326" i="7"/>
  <c r="H326" i="7" s="1"/>
  <c r="F326" i="7"/>
  <c r="B327" i="7"/>
  <c r="C327" i="7" l="1"/>
  <c r="D327" i="7" s="1"/>
  <c r="G327" i="7"/>
  <c r="H327" i="7" s="1"/>
  <c r="F327" i="7"/>
  <c r="B328" i="7"/>
  <c r="C328" i="7" l="1"/>
  <c r="D328" i="7" s="1"/>
  <c r="F328" i="7"/>
  <c r="G328" i="7"/>
  <c r="H328" i="7" s="1"/>
  <c r="B329" i="7"/>
  <c r="C329" i="7" l="1"/>
  <c r="D329" i="7" s="1"/>
  <c r="G329" i="7"/>
  <c r="H329" i="7" s="1"/>
  <c r="F329" i="7"/>
  <c r="B330" i="7"/>
  <c r="C330" i="7" l="1"/>
  <c r="D330" i="7" s="1"/>
  <c r="G330" i="7"/>
  <c r="H330" i="7" s="1"/>
  <c r="F330" i="7"/>
  <c r="B331" i="7"/>
  <c r="C331" i="7" l="1"/>
  <c r="D331" i="7" s="1"/>
  <c r="F331" i="7"/>
  <c r="G331" i="7"/>
  <c r="H331" i="7" s="1"/>
  <c r="B332" i="7"/>
  <c r="C332" i="7" l="1"/>
  <c r="D332" i="7" s="1"/>
  <c r="G332" i="7"/>
  <c r="H332" i="7" s="1"/>
  <c r="F332" i="7"/>
  <c r="B333" i="7"/>
  <c r="C333" i="7" l="1"/>
  <c r="D333" i="7" s="1"/>
  <c r="G333" i="7"/>
  <c r="H333" i="7" s="1"/>
  <c r="F333" i="7"/>
  <c r="B334" i="7"/>
  <c r="C334" i="7" l="1"/>
  <c r="D334" i="7" s="1"/>
  <c r="G334" i="7"/>
  <c r="H334" i="7" s="1"/>
  <c r="F334" i="7"/>
  <c r="B335" i="7"/>
  <c r="C335" i="7" l="1"/>
  <c r="D335" i="7" s="1"/>
  <c r="G335" i="7"/>
  <c r="H335" i="7" s="1"/>
  <c r="F335" i="7"/>
  <c r="B336" i="7"/>
  <c r="C336" i="7" l="1"/>
  <c r="D336" i="7" s="1"/>
  <c r="G336" i="7"/>
  <c r="H336" i="7" s="1"/>
  <c r="F336" i="7"/>
  <c r="B337" i="7"/>
  <c r="C337" i="7" l="1"/>
  <c r="D337" i="7" s="1"/>
  <c r="G337" i="7"/>
  <c r="H337" i="7" s="1"/>
  <c r="F337" i="7"/>
  <c r="B338" i="7"/>
  <c r="C338" i="7" l="1"/>
  <c r="D338" i="7" s="1"/>
  <c r="G338" i="7"/>
  <c r="H338" i="7" s="1"/>
  <c r="F338" i="7"/>
  <c r="B339" i="7"/>
  <c r="C339" i="7" l="1"/>
  <c r="D339" i="7" s="1"/>
  <c r="G339" i="7"/>
  <c r="H339" i="7" s="1"/>
  <c r="F339" i="7"/>
  <c r="B340" i="7"/>
  <c r="C340" i="7" l="1"/>
  <c r="D340" i="7" s="1"/>
  <c r="F340" i="7"/>
  <c r="G340" i="7"/>
  <c r="H340" i="7" s="1"/>
  <c r="B341" i="7"/>
  <c r="C341" i="7" l="1"/>
  <c r="D341" i="7" s="1"/>
  <c r="G341" i="7"/>
  <c r="H341" i="7" s="1"/>
  <c r="F341" i="7"/>
  <c r="B342" i="7"/>
  <c r="C342" i="7" l="1"/>
  <c r="D342" i="7" s="1"/>
  <c r="F342" i="7"/>
  <c r="G342" i="7"/>
  <c r="H342" i="7" s="1"/>
  <c r="B343" i="7"/>
  <c r="C343" i="7" l="1"/>
  <c r="D343" i="7" s="1"/>
  <c r="G343" i="7"/>
  <c r="H343" i="7" s="1"/>
  <c r="F343" i="7"/>
  <c r="B344" i="7"/>
  <c r="C344" i="7" l="1"/>
  <c r="D344" i="7" s="1"/>
  <c r="G344" i="7"/>
  <c r="H344" i="7" s="1"/>
  <c r="F344" i="7"/>
  <c r="B345" i="7"/>
  <c r="C345" i="7" l="1"/>
  <c r="D345" i="7" s="1"/>
  <c r="G345" i="7"/>
  <c r="H345" i="7" s="1"/>
  <c r="F345" i="7"/>
  <c r="B346" i="7"/>
  <c r="C346" i="7" l="1"/>
  <c r="D346" i="7" s="1"/>
  <c r="G346" i="7"/>
  <c r="H346" i="7" s="1"/>
  <c r="F346" i="7"/>
  <c r="B347" i="7"/>
  <c r="C347" i="7" l="1"/>
  <c r="D347" i="7" s="1"/>
  <c r="G347" i="7"/>
  <c r="H347" i="7" s="1"/>
  <c r="F347" i="7"/>
  <c r="B348" i="7"/>
  <c r="C348" i="7" l="1"/>
  <c r="D348" i="7" s="1"/>
  <c r="F348" i="7"/>
  <c r="G348" i="7"/>
  <c r="H348" i="7" s="1"/>
  <c r="B349" i="7"/>
  <c r="C349" i="7" l="1"/>
  <c r="D349" i="7" s="1"/>
  <c r="G349" i="7"/>
  <c r="H349" i="7" s="1"/>
  <c r="F349" i="7"/>
  <c r="B350" i="7"/>
  <c r="C350" i="7" l="1"/>
  <c r="D350" i="7" s="1"/>
  <c r="G350" i="7"/>
  <c r="H350" i="7" s="1"/>
  <c r="F350" i="7"/>
  <c r="B351" i="7"/>
  <c r="C351" i="7" l="1"/>
  <c r="D351" i="7" s="1"/>
  <c r="G351" i="7"/>
  <c r="H351" i="7" s="1"/>
  <c r="F351" i="7"/>
  <c r="B352" i="7"/>
  <c r="C352" i="7" l="1"/>
  <c r="D352" i="7" s="1"/>
  <c r="F352" i="7"/>
  <c r="G352" i="7"/>
  <c r="H352" i="7" s="1"/>
  <c r="B353" i="7"/>
  <c r="C353" i="7" l="1"/>
  <c r="D353" i="7" s="1"/>
  <c r="F353" i="7"/>
  <c r="G353" i="7"/>
  <c r="H353" i="7" s="1"/>
  <c r="B354" i="7"/>
  <c r="C354" i="7" l="1"/>
  <c r="D354" i="7" s="1"/>
  <c r="G354" i="7"/>
  <c r="H354" i="7" s="1"/>
  <c r="F354" i="7"/>
  <c r="B355" i="7"/>
  <c r="C355" i="7" l="1"/>
  <c r="D355" i="7" s="1"/>
  <c r="G355" i="7"/>
  <c r="H355" i="7" s="1"/>
  <c r="F355" i="7"/>
  <c r="B356" i="7"/>
  <c r="C356" i="7" l="1"/>
  <c r="D356" i="7" s="1"/>
  <c r="F356" i="7"/>
  <c r="G356" i="7"/>
  <c r="H356" i="7" s="1"/>
  <c r="B357" i="7"/>
  <c r="C357" i="7" l="1"/>
  <c r="D357" i="7" s="1"/>
  <c r="F357" i="7"/>
  <c r="G357" i="7"/>
  <c r="H357" i="7" s="1"/>
  <c r="B358" i="7"/>
  <c r="C358" i="7" l="1"/>
  <c r="D358" i="7" s="1"/>
  <c r="G358" i="7"/>
  <c r="H358" i="7" s="1"/>
  <c r="F358" i="7"/>
  <c r="B359" i="7"/>
  <c r="C359" i="7" l="1"/>
  <c r="D359" i="7" s="1"/>
  <c r="G359" i="7"/>
  <c r="H359" i="7" s="1"/>
  <c r="F359" i="7"/>
  <c r="B360" i="7"/>
  <c r="C360" i="7" l="1"/>
  <c r="D360" i="7" s="1"/>
  <c r="G360" i="7"/>
  <c r="H360" i="7" s="1"/>
  <c r="F360" i="7"/>
  <c r="B361" i="7"/>
  <c r="C361" i="7" l="1"/>
  <c r="D361" i="7" s="1"/>
  <c r="G361" i="7"/>
  <c r="H361" i="7" s="1"/>
  <c r="F361" i="7"/>
  <c r="B362" i="7"/>
  <c r="C362" i="7" l="1"/>
  <c r="D362" i="7" s="1"/>
  <c r="G362" i="7"/>
  <c r="H362" i="7" s="1"/>
  <c r="F362" i="7"/>
  <c r="B363" i="7"/>
  <c r="C363" i="7" l="1"/>
  <c r="D363" i="7" s="1"/>
  <c r="G363" i="7"/>
  <c r="H363" i="7" s="1"/>
  <c r="F363" i="7"/>
  <c r="B364" i="7"/>
  <c r="C364" i="7" l="1"/>
  <c r="D364" i="7" s="1"/>
  <c r="F364" i="7"/>
  <c r="G364" i="7"/>
  <c r="H364" i="7" s="1"/>
  <c r="B365" i="7"/>
  <c r="C365" i="7" l="1"/>
  <c r="D365" i="7" s="1"/>
  <c r="G365" i="7"/>
  <c r="H365" i="7" s="1"/>
  <c r="F365" i="7"/>
  <c r="B366" i="7"/>
  <c r="C366" i="7" l="1"/>
  <c r="D366" i="7" s="1"/>
  <c r="G366" i="7"/>
  <c r="H366" i="7" s="1"/>
  <c r="F366" i="7"/>
  <c r="B367" i="7"/>
  <c r="C367" i="7" l="1"/>
  <c r="D367" i="7" s="1"/>
  <c r="G367" i="7"/>
  <c r="H367" i="7" s="1"/>
  <c r="F367" i="7"/>
  <c r="B368" i="7"/>
  <c r="C368" i="7" l="1"/>
  <c r="D368" i="7" s="1"/>
  <c r="F368" i="7"/>
  <c r="G368" i="7"/>
  <c r="H368" i="7" s="1"/>
  <c r="B369" i="7"/>
  <c r="C369" i="7" l="1"/>
  <c r="D369" i="7" s="1"/>
  <c r="F369" i="7"/>
  <c r="G369" i="7"/>
  <c r="D6" i="6" s="1"/>
  <c r="E6" i="6" l="1"/>
  <c r="H369" i="7"/>
  <c r="F6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8" authorId="0" shapeId="0" xr:uid="{D89D6B9E-08A9-4FBC-8748-924E61C0794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Competência</t>
        </r>
      </text>
    </comment>
    <comment ref="D8" authorId="0" shapeId="0" xr:uid="{373461EC-81FB-4BEC-AB9D-D7EE012ADBC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Caixa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94424D34-0E2F-4EC2-ADFA-A49DDEB6203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Competência</t>
        </r>
      </text>
    </comment>
    <comment ref="F2" authorId="0" shapeId="0" xr:uid="{D58AC658-EEFC-4ABC-A7A3-D3C0FCF1E86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Caixa</t>
        </r>
      </text>
    </comment>
  </commentList>
</comments>
</file>

<file path=xl/sharedStrings.xml><?xml version="1.0" encoding="utf-8"?>
<sst xmlns="http://schemas.openxmlformats.org/spreadsheetml/2006/main" count="624" uniqueCount="205">
  <si>
    <t>Plano de Contas</t>
  </si>
  <si>
    <t>Contas</t>
  </si>
  <si>
    <t>Descrição</t>
  </si>
  <si>
    <t>Documentos</t>
  </si>
  <si>
    <t>RECEITAS OPERACIONAIS</t>
  </si>
  <si>
    <t xml:space="preserve">Receitas derivadas da atividade principal da empresa </t>
  </si>
  <si>
    <t>Cartão de crédito</t>
  </si>
  <si>
    <t>Consultoria</t>
  </si>
  <si>
    <t>Receita advinda da atividade de consultoria em sistemas de informação</t>
  </si>
  <si>
    <t>Cobrança bancária</t>
  </si>
  <si>
    <t>Licença de software</t>
  </si>
  <si>
    <t>Receita de venda de sistemas e/ou licença de sistemas</t>
  </si>
  <si>
    <t>Cheque</t>
  </si>
  <si>
    <t>Receita advinda de contratos de manutenção em estrutura de tecnologia</t>
  </si>
  <si>
    <t>Deposito bancário</t>
  </si>
  <si>
    <t>Receitas advindas das manutenções dos sistemas desenvolvidos pela empresa</t>
  </si>
  <si>
    <t>Dinheiro</t>
  </si>
  <si>
    <t>Outras receitas</t>
  </si>
  <si>
    <t>Outras receitas não especificadas</t>
  </si>
  <si>
    <t>DESPESAS FIXAS</t>
  </si>
  <si>
    <t>Despesas de natureza operacional e não relacionadas ao volume de atividade</t>
  </si>
  <si>
    <t>Água</t>
  </si>
  <si>
    <t>Despesas de água encanada e água mineral</t>
  </si>
  <si>
    <t>Aluguel</t>
  </si>
  <si>
    <t>Aluguel do prédio</t>
  </si>
  <si>
    <t>Cartório</t>
  </si>
  <si>
    <t>Despesas de cartório</t>
  </si>
  <si>
    <t>Combustível</t>
  </si>
  <si>
    <t>Despesas de combustível dos veículos</t>
  </si>
  <si>
    <t>Correios</t>
  </si>
  <si>
    <t>Despesas de envio de cartas, mala direta e sedex</t>
  </si>
  <si>
    <t>Encargos sociais</t>
  </si>
  <si>
    <t>Despesas de encargos sociais sobre a folha, seguro de vida e plano de saúde</t>
  </si>
  <si>
    <t>Energia</t>
  </si>
  <si>
    <t>Energia elétrica</t>
  </si>
  <si>
    <t>Fones / Comunicação</t>
  </si>
  <si>
    <t>Despesas de telefones fixo e móvel e internet</t>
  </si>
  <si>
    <t>Impostos/taxas diversas</t>
  </si>
  <si>
    <t>Impostos e taxas diversas, tais como IPTU, IPVA, CPMF, taxas de conselhos e sindicatos, taxas de concorrências públicas, etc.</t>
  </si>
  <si>
    <t>Manutenção equipamentos</t>
  </si>
  <si>
    <t>Manutenção de computadores, impressoras, TVs, circuito de TV, copiadora, etc.</t>
  </si>
  <si>
    <t>Manutenção prédio</t>
  </si>
  <si>
    <t>Manutenções do prédio, tais como: pintura, reformas elétrica, hidráulica, etc.</t>
  </si>
  <si>
    <t>Material escritório</t>
  </si>
  <si>
    <t>Despesas com materiais de escritório, cartuchos de impressoras, cópias, materiais gráficos, etc.</t>
  </si>
  <si>
    <t>Material limpeza</t>
  </si>
  <si>
    <t>Despesas com material de copa, limpeza e higiene</t>
  </si>
  <si>
    <t>Outras DFs</t>
  </si>
  <si>
    <t>Outras despesas fixas de pequeno valor não classificadas nas demais contas</t>
  </si>
  <si>
    <t>Pro-labore</t>
  </si>
  <si>
    <t>Pro-labore dos sócios</t>
  </si>
  <si>
    <t>Propaganda</t>
  </si>
  <si>
    <t>Despesas de propaganda e anúncios em revistas, rádios, jornais, etc.</t>
  </si>
  <si>
    <t>Salários</t>
  </si>
  <si>
    <t>Folha de pagamento dos funcionários</t>
  </si>
  <si>
    <t>Segurança</t>
  </si>
  <si>
    <t>Monitoramento eletrônico</t>
  </si>
  <si>
    <t>Seguros</t>
  </si>
  <si>
    <t>Seguros do prédio, veículos, etc.</t>
  </si>
  <si>
    <t>Terceirizados</t>
  </si>
  <si>
    <t>Pagamento de mão-de-obra terceirizada (contabilidade, serviços advocatícios, consultorias, etc.)</t>
  </si>
  <si>
    <t>Viagens</t>
  </si>
  <si>
    <t>Despesas de viagens, tais como estada, passagens, alimentação em viagem, etc.</t>
  </si>
  <si>
    <t>DESPESAS VARIÁVEIS</t>
  </si>
  <si>
    <t>Despesas de natureza operacional e relacionadas diretamente ao volume de atividade</t>
  </si>
  <si>
    <t>Comissões</t>
  </si>
  <si>
    <t>Comissões dos vendedores</t>
  </si>
  <si>
    <t>Impostos estaduais</t>
  </si>
  <si>
    <t>Pagamento de impostos estaduais</t>
  </si>
  <si>
    <t>Impostos federais</t>
  </si>
  <si>
    <t>Pagamento de impostos federais</t>
  </si>
  <si>
    <t>Impostos municipais</t>
  </si>
  <si>
    <t>Pagamento de impostos municipais</t>
  </si>
  <si>
    <t>Outras despesas variáveis</t>
  </si>
  <si>
    <t>Outras despesas variáveis de pequeno valor não classificadas nas demais contas</t>
  </si>
  <si>
    <t>ENTRADA FL. INVESTIMENTO</t>
  </si>
  <si>
    <t>Entradas de caixa relacionadas ao fluxo de investimento</t>
  </si>
  <si>
    <t>Resgate Aplicações Financeiras</t>
  </si>
  <si>
    <t>Regate de aplicações financeiras bancárias</t>
  </si>
  <si>
    <t>Venda Ativo</t>
  </si>
  <si>
    <t>Venda de ativo fixo (veículo, computador, etc.)</t>
  </si>
  <si>
    <t>SAÍDA FL. INVESTIMENTO</t>
  </si>
  <si>
    <t>Saídas de caixa relacionadas às atividades de investimento</t>
  </si>
  <si>
    <t>Aplicação financeira</t>
  </si>
  <si>
    <t>Aplicação financeira em alguma aplicação bancária</t>
  </si>
  <si>
    <t>Ativo imobilizado</t>
  </si>
  <si>
    <t>Aquisição de ativo imobilizado (veículo, computador, equipamento, etc.)</t>
  </si>
  <si>
    <t>Treinamento</t>
  </si>
  <si>
    <t>Treinamento de funcionários</t>
  </si>
  <si>
    <t>ENTRADA FL. FINANCIAMENTO</t>
  </si>
  <si>
    <t>Entradas de caixa relacionadas à atividade de financiamento da empresa</t>
  </si>
  <si>
    <t>Aporte Sócios</t>
  </si>
  <si>
    <t>Aporte de capital por parte dos sócios</t>
  </si>
  <si>
    <t>Recebimento de Empréstimo</t>
  </si>
  <si>
    <t>Recebimento de empréstimo</t>
  </si>
  <si>
    <t>SAÍDA FL. FINANCIAMENTO</t>
  </si>
  <si>
    <t>Saídas de caixa relacionadas às atividades de financiamento da empresa</t>
  </si>
  <si>
    <t>Distribuição de Lucros</t>
  </si>
  <si>
    <t>Distribuição de lucros aos sócios</t>
  </si>
  <si>
    <t>Pgto. empréstimo (principal)</t>
  </si>
  <si>
    <t>Pagamento de empréstimos contraídos (principal da dívida)</t>
  </si>
  <si>
    <t>Pgto. empréstimo (juros)</t>
  </si>
  <si>
    <t>Pagamento de empréstimos contraídos (juros)</t>
  </si>
  <si>
    <t>Manutenção de Sistemas</t>
  </si>
  <si>
    <t>Manutenção de estrutura</t>
  </si>
  <si>
    <t>Premissas</t>
  </si>
  <si>
    <t>Ano de avaliação</t>
  </si>
  <si>
    <t>Saldo Inicial</t>
  </si>
  <si>
    <t>Faturamento Projetado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</si>
  <si>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</si>
  <si>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</si>
  <si>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</si>
  <si>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</si>
  <si>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</si>
  <si>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</si>
  <si>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</si>
  <si>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</si>
  <si>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</si>
  <si>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</si>
  <si>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</si>
  <si>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</si>
  <si>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</si>
  <si>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Despesas Fixas Mensais</t>
  </si>
  <si>
    <t>Despesas Variáveis</t>
  </si>
  <si>
    <t>Pago em M sobre o faturamento</t>
  </si>
  <si>
    <t>Não tem comercialização de produtos</t>
  </si>
  <si>
    <t>Pago em M+1 sobre faturamento. PIS 0,65%, Confins 3%, Cont. Social 2,88%, IRPJ 4,8%</t>
  </si>
  <si>
    <t>Pago em M+1 sobre faturamento. ISS 5,00%</t>
  </si>
  <si>
    <t>Receitas</t>
  </si>
  <si>
    <t>Serviços</t>
  </si>
  <si>
    <t>Regras de Faturamento</t>
  </si>
  <si>
    <t>À Vista</t>
  </si>
  <si>
    <t>30 dias</t>
  </si>
  <si>
    <t>Receita Projetada</t>
  </si>
  <si>
    <t>Saldos Iniciais</t>
  </si>
  <si>
    <t>Saldos Finais</t>
  </si>
  <si>
    <t>Média</t>
  </si>
  <si>
    <t>Fluxo Operacional</t>
  </si>
  <si>
    <t>Fluxo de Investimento</t>
  </si>
  <si>
    <t>Fluxo de Caixa Livre</t>
  </si>
  <si>
    <t>Fluxo de Financiamento</t>
  </si>
  <si>
    <t>Despesa Fixa / Receita Operacional</t>
  </si>
  <si>
    <t>Despesa Variável / Receita Operacional</t>
  </si>
  <si>
    <t>Margem de Contribuição</t>
  </si>
  <si>
    <t>Margem de Lucro</t>
  </si>
  <si>
    <t>Ponto de Equilíbrio</t>
  </si>
  <si>
    <t>Data de Reg.</t>
  </si>
  <si>
    <t>Valor</t>
  </si>
  <si>
    <t>Data Efet.</t>
  </si>
  <si>
    <t>Doc. Pgto.</t>
  </si>
  <si>
    <t>Nº Doc</t>
  </si>
  <si>
    <t>Saída</t>
  </si>
  <si>
    <t>Entrada</t>
  </si>
  <si>
    <t>Doc. Fiscal</t>
  </si>
  <si>
    <t>Categoria</t>
  </si>
  <si>
    <t>Histórico</t>
  </si>
  <si>
    <t>Saldo Prev.</t>
  </si>
  <si>
    <t>Saldo Real.</t>
  </si>
  <si>
    <t>Cliente ABC</t>
  </si>
  <si>
    <t>Serviço de Manutenção Predial</t>
  </si>
  <si>
    <t>Reconhecimento de Firma</t>
  </si>
  <si>
    <t>Cliente XYZ</t>
  </si>
  <si>
    <t>Resma</t>
  </si>
  <si>
    <t>Água do estacionamento</t>
  </si>
  <si>
    <t>Envio de Sedex</t>
  </si>
  <si>
    <t>Complementar</t>
  </si>
  <si>
    <t>Manutenção na impressora</t>
  </si>
  <si>
    <t>Encanador</t>
  </si>
  <si>
    <t>Segurança Predial</t>
  </si>
  <si>
    <t>Entradas</t>
  </si>
  <si>
    <t>Saídas</t>
  </si>
  <si>
    <t>Saldo</t>
  </si>
  <si>
    <t>Ref.</t>
  </si>
  <si>
    <t>Caixa</t>
  </si>
  <si>
    <t>Previsão</t>
  </si>
  <si>
    <t>Efetivo</t>
  </si>
  <si>
    <t>Acum.</t>
  </si>
  <si>
    <t>Receitas Operacionais</t>
  </si>
  <si>
    <t>Proj</t>
  </si>
  <si>
    <t>Real</t>
  </si>
  <si>
    <t>%</t>
  </si>
  <si>
    <t>Real Mil</t>
  </si>
  <si>
    <t>Despesas Fixas</t>
  </si>
  <si>
    <t>Relatório Financeiro Anual</t>
  </si>
  <si>
    <t>Protech do Brasil</t>
  </si>
  <si>
    <t>Fluxo de Resultados</t>
  </si>
  <si>
    <t>Análise Crítica</t>
  </si>
  <si>
    <t>Plano de Ação</t>
  </si>
  <si>
    <t>Projeção</t>
  </si>
  <si>
    <t>Realizado</t>
  </si>
  <si>
    <t>Performance</t>
  </si>
  <si>
    <t>Ref.: Julho/ 2020</t>
  </si>
  <si>
    <t>Análise do Período</t>
  </si>
  <si>
    <t>Propor reunião com o Comercial para projeção de novos clientes dentro do período vigente.
Prazo - 05/08/2020.</t>
  </si>
  <si>
    <t>Redução do custo variável devido a perda de produção relacionada ao cliente EFG.</t>
  </si>
  <si>
    <t>Queda na despesa fixa devido a realocação dos recursos do cliente EFG.</t>
  </si>
  <si>
    <t>Aumento de Receita Operacional visando o alcance das despesas fixas propostas para o período.</t>
  </si>
  <si>
    <t>Aumento de Receita Operacional visando o alcance das despesas variáveis propostas para o período.</t>
  </si>
  <si>
    <t>Margem de Lucro abaixo do esperado, alavancado pelas recentes perdas de receita, principalmente por não renovação com clientes.</t>
  </si>
  <si>
    <t>Margem de Contribuição muito acima do teto estabelecido. Não haverá margem de lucro para o mês de julho/20.</t>
  </si>
  <si>
    <t>Propor ação conjunta com as áreas de produção para implementação de projetos de redução de despesa fixa fixo.</t>
  </si>
  <si>
    <t>Propor reunião com o Comercial para projeção de novos clientes.</t>
  </si>
  <si>
    <t>Queda na receita devido perda de renovação contratual do Cliente EFG.</t>
  </si>
  <si>
    <t>Ponto de equilíbrio proporcional à queda de despesa fixa para o mesmo período.</t>
  </si>
  <si>
    <t>Aumento de Receita Operacional visando a receita fixa proposta pro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</si>
</sst>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;[Red]\-&quot;R$&quot;\ #,##0"/>
    <numFmt numFmtId="165" formatCode="&quot;R$&quot;\ #,##0.00;[Red]\-&quot;R$&quot;\ #,##0.00"/>
    <numFmt numFmtId="166" formatCode="_-&quot;R$&quot;\ * #,##0.00_-;\-&quot;R$&quot;\ * #,##0.00_-;_-&quot;R$&quot;\ * &quot;-&quot;??_-;_-@_-"/>
    <numFmt numFmtId="167" formatCode="&quot;R$&quot;\ #,##0.00"/>
    <numFmt numFmtId="168" formatCode="&quot;R$&quot;#,##0.0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 indent="1"/>
    </xf>
    <xf numFmtId="14" fontId="0" fillId="0" borderId="1" xfId="0" applyNumberFormat="1" applyBorder="1" applyAlignment="1">
      <alignment horizontal="center"/>
    </xf>
    <xf numFmtId="166" fontId="0" fillId="0" borderId="1" xfId="1" applyFon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0" fontId="0" fillId="0" borderId="2" xfId="0" applyBorder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6" fontId="0" fillId="4" borderId="1" xfId="1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4" borderId="1" xfId="0" applyFill="1" applyBorder="1"/>
    <xf numFmtId="0" fontId="8" fillId="5" borderId="1" xfId="0" applyFont="1" applyFill="1" applyBorder="1"/>
    <xf numFmtId="166" fontId="8" fillId="5" borderId="1" xfId="0" applyNumberFormat="1" applyFont="1" applyFill="1" applyBorder="1"/>
    <xf numFmtId="0" fontId="9" fillId="6" borderId="1" xfId="0" applyFont="1" applyFill="1" applyBorder="1"/>
    <xf numFmtId="166" fontId="9" fillId="6" borderId="1" xfId="0" applyNumberFormat="1" applyFont="1" applyFill="1" applyBorder="1"/>
    <xf numFmtId="166" fontId="0" fillId="4" borderId="1" xfId="0" applyNumberFormat="1" applyFill="1" applyBorder="1" applyAlignment="1">
      <alignment horizontal="center"/>
    </xf>
    <xf numFmtId="9" fontId="0" fillId="0" borderId="1" xfId="2" applyFont="1" applyBorder="1"/>
    <xf numFmtId="9" fontId="0" fillId="0" borderId="1" xfId="1" applyNumberFormat="1" applyFont="1" applyBorder="1"/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167" fontId="0" fillId="0" borderId="1" xfId="0" applyNumberFormat="1" applyBorder="1"/>
    <xf numFmtId="165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center"/>
    </xf>
    <xf numFmtId="164" fontId="0" fillId="0" borderId="1" xfId="0" applyNumberFormat="1" applyBorder="1" applyAlignment="1">
      <alignment horizontal="right"/>
    </xf>
    <xf numFmtId="0" fontId="6" fillId="0" borderId="0" xfId="0" applyFont="1"/>
    <xf numFmtId="14" fontId="0" fillId="0" borderId="0" xfId="0" applyNumberForma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9" fontId="0" fillId="0" borderId="1" xfId="0" applyNumberFormat="1" applyBorder="1"/>
    <xf numFmtId="0" fontId="6" fillId="0" borderId="0" xfId="0" applyFont="1" applyAlignment="1">
      <alignment horizontal="center" vertical="center"/>
    </xf>
    <xf numFmtId="0" fontId="2" fillId="0" borderId="3" xfId="0" applyFont="1" applyBorder="1"/>
    <xf numFmtId="0" fontId="12" fillId="0" borderId="3" xfId="0" applyFont="1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2" fontId="0" fillId="0" borderId="1" xfId="0" applyNumberFormat="1" applyBorder="1"/>
    <xf numFmtId="0" fontId="0" fillId="0" borderId="9" xfId="0" applyBorder="1" applyAlignment="1">
      <alignment horizontal="right"/>
    </xf>
    <xf numFmtId="166" fontId="13" fillId="0" borderId="1" xfId="1" applyFont="1" applyBorder="1"/>
    <xf numFmtId="9" fontId="13" fillId="0" borderId="1" xfId="2" applyFont="1" applyBorder="1" applyAlignment="1">
      <alignment horizontal="center"/>
    </xf>
    <xf numFmtId="168" fontId="13" fillId="0" borderId="1" xfId="2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0" xfId="0" applyFont="1" applyFill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Receitas Operacionais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96-441F-A573-08177014C2F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96-441F-A573-08177014C2F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96-441F-A573-08177014C2F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96-441F-A573-08177014C2F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96-441F-A573-08177014C2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Fluxo_Diário_DB!$L$7:$W$7</c:f>
              <c:numCache>
                <c:formatCode>0%</c:formatCode>
                <c:ptCount val="12"/>
                <c:pt idx="0">
                  <c:v>4.8205918223249249</c:v>
                </c:pt>
                <c:pt idx="1">
                  <c:v>0.69811685006756874</c:v>
                </c:pt>
                <c:pt idx="2">
                  <c:v>2.1860582224190175</c:v>
                </c:pt>
                <c:pt idx="3">
                  <c:v>1.0657249493715375</c:v>
                </c:pt>
                <c:pt idx="4">
                  <c:v>1.8054687170844745</c:v>
                </c:pt>
                <c:pt idx="5">
                  <c:v>3.0630651771272452</c:v>
                </c:pt>
                <c:pt idx="6">
                  <c:v>2.6125345559975726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6-441F-A573-08177014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Fluxo_Diário_DB!$L$5:$W$5</c:f>
              <c:numCache>
                <c:formatCode>0.00</c:formatCode>
                <c:ptCount val="12"/>
                <c:pt idx="0">
                  <c:v>56.325000000000003</c:v>
                </c:pt>
                <c:pt idx="1">
                  <c:v>19.888999999999999</c:v>
                </c:pt>
                <c:pt idx="2">
                  <c:v>62.947000000000003</c:v>
                </c:pt>
                <c:pt idx="3">
                  <c:v>31.838000000000001</c:v>
                </c:pt>
                <c:pt idx="4">
                  <c:v>53.566000000000003</c:v>
                </c:pt>
                <c:pt idx="5">
                  <c:v>91.372</c:v>
                </c:pt>
                <c:pt idx="6">
                  <c:v>77.492999999999995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6-441F-A573-08177014C2F5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Fluxo_Diário_DB!$L$3:$W$3</c:f>
              <c:numCache>
                <c:formatCode>0.00</c:formatCode>
                <c:ptCount val="12"/>
                <c:pt idx="0">
                  <c:v>11.68425</c:v>
                </c:pt>
                <c:pt idx="1">
                  <c:v>28.4895</c:v>
                </c:pt>
                <c:pt idx="2">
                  <c:v>28.794750000000001</c:v>
                </c:pt>
                <c:pt idx="3">
                  <c:v>29.874500000000001</c:v>
                </c:pt>
                <c:pt idx="4">
                  <c:v>29.668749999999999</c:v>
                </c:pt>
                <c:pt idx="5">
                  <c:v>29.830249999999999</c:v>
                </c:pt>
                <c:pt idx="6">
                  <c:v>29.661999999999999</c:v>
                </c:pt>
                <c:pt idx="7">
                  <c:v>30.197749999999999</c:v>
                </c:pt>
                <c:pt idx="8">
                  <c:v>30.108499999999999</c:v>
                </c:pt>
                <c:pt idx="9">
                  <c:v>29.673500000000001</c:v>
                </c:pt>
                <c:pt idx="10">
                  <c:v>28.9115</c:v>
                </c:pt>
                <c:pt idx="11">
                  <c:v>28.707249999999998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6-441F-A573-08177014C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  <c:majorUnit val="20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Despesas Fixas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1-4950-8BAE-4FA9E83652A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91-4950-8BAE-4FA9E83652A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91-4950-8BAE-4FA9E83652A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91-4950-8BAE-4FA9E83652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Fluxo_Diário_DB!$L$13:$W$13</c:f>
              <c:numCache>
                <c:formatCode>0%</c:formatCode>
                <c:ptCount val="12"/>
                <c:pt idx="0">
                  <c:v>1.3243967828418231</c:v>
                </c:pt>
                <c:pt idx="1">
                  <c:v>0.96219839142091157</c:v>
                </c:pt>
                <c:pt idx="2">
                  <c:v>1.0041108132260947</c:v>
                </c:pt>
                <c:pt idx="3">
                  <c:v>1.1727435210008936</c:v>
                </c:pt>
                <c:pt idx="4">
                  <c:v>0.99821268990169798</c:v>
                </c:pt>
                <c:pt idx="5">
                  <c:v>0.63851653261840924</c:v>
                </c:pt>
                <c:pt idx="6">
                  <c:v>0.58141197497765862</c:v>
                </c:pt>
                <c:pt idx="7">
                  <c:v>0.12109025915996426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F-4594-A132-A88EB81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Fluxo_Diário_DB!$L$11:$W$11</c:f>
              <c:numCache>
                <c:formatCode>0.00</c:formatCode>
                <c:ptCount val="12"/>
                <c:pt idx="0">
                  <c:v>14.82</c:v>
                </c:pt>
                <c:pt idx="1">
                  <c:v>10.766999999999999</c:v>
                </c:pt>
                <c:pt idx="2">
                  <c:v>11.236000000000001</c:v>
                </c:pt>
                <c:pt idx="3">
                  <c:v>13.122999999999999</c:v>
                </c:pt>
                <c:pt idx="4">
                  <c:v>11.17</c:v>
                </c:pt>
                <c:pt idx="5">
                  <c:v>7.1449999999999996</c:v>
                </c:pt>
                <c:pt idx="6">
                  <c:v>6.5060000000000002</c:v>
                </c:pt>
                <c:pt idx="7">
                  <c:v>1.355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4F-4594-A132-A88EB81837F5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Fluxo_Diário_DB!$L$9:$W$9</c:f>
              <c:numCache>
                <c:formatCode>0.00</c:formatCode>
                <c:ptCount val="12"/>
                <c:pt idx="0">
                  <c:v>11.19</c:v>
                </c:pt>
                <c:pt idx="1">
                  <c:v>11.19</c:v>
                </c:pt>
                <c:pt idx="2">
                  <c:v>11.19</c:v>
                </c:pt>
                <c:pt idx="3">
                  <c:v>11.19</c:v>
                </c:pt>
                <c:pt idx="4">
                  <c:v>11.19</c:v>
                </c:pt>
                <c:pt idx="5">
                  <c:v>11.19</c:v>
                </c:pt>
                <c:pt idx="6">
                  <c:v>11.19</c:v>
                </c:pt>
                <c:pt idx="7">
                  <c:v>11.19</c:v>
                </c:pt>
                <c:pt idx="8">
                  <c:v>11.19</c:v>
                </c:pt>
                <c:pt idx="9">
                  <c:v>11.19</c:v>
                </c:pt>
                <c:pt idx="10">
                  <c:v>11.19</c:v>
                </c:pt>
                <c:pt idx="11">
                  <c:v>11.19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4F-4594-A132-A88EB8183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Despesas Variáveis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Fluxo_Diário_DB!$K$7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DE-4EA3-9AEF-5930239570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DE-4EA3-9AEF-5930239570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DE-4EA3-9AEF-5930239570C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DE-4EA3-9AEF-5930239570C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DE-4EA3-9AEF-5930239570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Fluxo_Diário_DB!$L$19:$W$19</c:f>
              <c:numCache>
                <c:formatCode>0%</c:formatCode>
                <c:ptCount val="12"/>
                <c:pt idx="0">
                  <c:v>1.8921086585068172</c:v>
                </c:pt>
                <c:pt idx="1">
                  <c:v>1.2642156603108281</c:v>
                </c:pt>
                <c:pt idx="2">
                  <c:v>0.37545105910633714</c:v>
                </c:pt>
                <c:pt idx="3">
                  <c:v>0.89287944134091846</c:v>
                </c:pt>
                <c:pt idx="4">
                  <c:v>0.44935590430347816</c:v>
                </c:pt>
                <c:pt idx="5">
                  <c:v>0.37676090317513677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6-4DCF-BBD2-9C6EAC75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3882200"/>
        <c:axId val="493881872"/>
      </c:barChart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Fluxo_Diário_DB!$L$17:$W$17</c:f>
              <c:numCache>
                <c:formatCode>0.00</c:formatCode>
                <c:ptCount val="12"/>
                <c:pt idx="0">
                  <c:v>2.7130000000000001</c:v>
                </c:pt>
                <c:pt idx="1">
                  <c:v>7.7309999999999999</c:v>
                </c:pt>
                <c:pt idx="2">
                  <c:v>2.302</c:v>
                </c:pt>
                <c:pt idx="3">
                  <c:v>5.5629999999999997</c:v>
                </c:pt>
                <c:pt idx="4">
                  <c:v>2.8530000000000002</c:v>
                </c:pt>
                <c:pt idx="5">
                  <c:v>2.3959999999999999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76-4DCF-BBD2-9C6EAC758EA8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Fluxo_Diário_DB!$L$15:$W$15</c:f>
              <c:numCache>
                <c:formatCode>0.00</c:formatCode>
                <c:ptCount val="12"/>
                <c:pt idx="0">
                  <c:v>1.4338500000000001</c:v>
                </c:pt>
                <c:pt idx="1">
                  <c:v>6.1152541000000005</c:v>
                </c:pt>
                <c:pt idx="2">
                  <c:v>6.1312917999999996</c:v>
                </c:pt>
                <c:pt idx="3">
                  <c:v>6.2304043999999994</c:v>
                </c:pt>
                <c:pt idx="4">
                  <c:v>6.3490876000000007</c:v>
                </c:pt>
                <c:pt idx="5">
                  <c:v>6.3594708999999998</c:v>
                </c:pt>
                <c:pt idx="6">
                  <c:v>6.2761143000000006</c:v>
                </c:pt>
                <c:pt idx="7">
                  <c:v>6.5318098999999998</c:v>
                </c:pt>
                <c:pt idx="8">
                  <c:v>6.3604531000000009</c:v>
                </c:pt>
                <c:pt idx="9">
                  <c:v>6.3591738000000007</c:v>
                </c:pt>
                <c:pt idx="10">
                  <c:v>6.1200268000000007</c:v>
                </c:pt>
                <c:pt idx="11">
                  <c:v>6.1495798000000006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6-4DCF-BBD2-9C6EAC758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valAx>
        <c:axId val="4938818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2200"/>
        <c:crosses val="max"/>
        <c:crossBetween val="between"/>
      </c:valAx>
      <c:catAx>
        <c:axId val="493882200"/>
        <c:scaling>
          <c:orientation val="minMax"/>
        </c:scaling>
        <c:delete val="1"/>
        <c:axPos val="b"/>
        <c:majorTickMark val="out"/>
        <c:minorTickMark val="none"/>
        <c:tickLblPos val="nextTo"/>
        <c:crossAx val="493881872"/>
        <c:crosses val="autoZero"/>
        <c:auto val="1"/>
        <c:lblAlgn val="ctr"/>
        <c:lblOffset val="100"/>
        <c:noMultiLvlLbl val="0"/>
      </c:cat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E05-4B6F-98B5-5E7C7700307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E05-4B6F-98B5-5E7C7700307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E05-4B6F-98B5-5E7C7700307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E05-4B6F-98B5-5E7C7700307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E05-4B6F-98B5-5E7C77003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Fluxo_Diário_DB!$L$23:$W$23</c:f>
              <c:numCache>
                <c:formatCode>0%</c:formatCode>
                <c:ptCount val="12"/>
                <c:pt idx="0">
                  <c:v>0.95183311140701288</c:v>
                </c:pt>
                <c:pt idx="1">
                  <c:v>0.61129267434260148</c:v>
                </c:pt>
                <c:pt idx="2">
                  <c:v>0.96342955184520307</c:v>
                </c:pt>
                <c:pt idx="3">
                  <c:v>0.82527168792009542</c:v>
                </c:pt>
                <c:pt idx="4">
                  <c:v>0.94673860284508826</c:v>
                </c:pt>
                <c:pt idx="5">
                  <c:v>0.97377752484349689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05-4B6F-98B5-5E7C77003072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Fluxo_Diário_DB!$L$21:$W$21</c:f>
              <c:numCache>
                <c:formatCode>0%</c:formatCode>
                <c:ptCount val="12"/>
                <c:pt idx="0">
                  <c:v>0.87728352269080168</c:v>
                </c:pt>
                <c:pt idx="1">
                  <c:v>0.78535059934361784</c:v>
                </c:pt>
                <c:pt idx="2">
                  <c:v>0.78706910808393893</c:v>
                </c:pt>
                <c:pt idx="3">
                  <c:v>0.79144740832482552</c:v>
                </c:pt>
                <c:pt idx="4">
                  <c:v>0.78600083926690534</c:v>
                </c:pt>
                <c:pt idx="5">
                  <c:v>0.78681134418920395</c:v>
                </c:pt>
                <c:pt idx="6">
                  <c:v>0.7884123019351359</c:v>
                </c:pt>
                <c:pt idx="7">
                  <c:v>0.78369878881704769</c:v>
                </c:pt>
                <c:pt idx="8">
                  <c:v>0.78874892140093333</c:v>
                </c:pt>
                <c:pt idx="9">
                  <c:v>0.78569518931032745</c:v>
                </c:pt>
                <c:pt idx="10">
                  <c:v>0.78831859986510555</c:v>
                </c:pt>
                <c:pt idx="11">
                  <c:v>0.78578304086946682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05-4B6F-98B5-5E7C7700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5D-4844-8F26-5E6F002206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5D-4844-8F26-5E6F0022069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5D-4844-8F26-5E6F002206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5D-4844-8F26-5E6F0022069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5D-4844-8F26-5E6F002206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5D-4844-8F26-5E6F002206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Fluxo_Diário_DB!$L$28:$W$28</c:f>
              <c:numCache>
                <c:formatCode>0%</c:formatCode>
                <c:ptCount val="12"/>
                <c:pt idx="0">
                  <c:v>4.8166888592987123E-2</c:v>
                </c:pt>
                <c:pt idx="1">
                  <c:v>0.38870732565739852</c:v>
                </c:pt>
                <c:pt idx="2">
                  <c:v>3.6570448154796931E-2</c:v>
                </c:pt>
                <c:pt idx="3">
                  <c:v>0.17472831207990458</c:v>
                </c:pt>
                <c:pt idx="4">
                  <c:v>5.3261397154911738E-2</c:v>
                </c:pt>
                <c:pt idx="5">
                  <c:v>2.6222475156503111E-2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5D-4844-8F26-5E6F0022069D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Fluxo_Diário_DB!$L$26:$W$26</c:f>
              <c:numCache>
                <c:formatCode>0%</c:formatCode>
                <c:ptCount val="12"/>
                <c:pt idx="0">
                  <c:v>0.12271647730919832</c:v>
                </c:pt>
                <c:pt idx="1">
                  <c:v>0.21464940065638216</c:v>
                </c:pt>
                <c:pt idx="2">
                  <c:v>0.21293089191606107</c:v>
                </c:pt>
                <c:pt idx="3">
                  <c:v>0.20855259167517448</c:v>
                </c:pt>
                <c:pt idx="4">
                  <c:v>0.21399916073309466</c:v>
                </c:pt>
                <c:pt idx="5">
                  <c:v>0.21318865581079605</c:v>
                </c:pt>
                <c:pt idx="6">
                  <c:v>0.2115876980648641</c:v>
                </c:pt>
                <c:pt idx="7">
                  <c:v>0.21630121118295231</c:v>
                </c:pt>
                <c:pt idx="8">
                  <c:v>0.21125107859906667</c:v>
                </c:pt>
                <c:pt idx="9">
                  <c:v>0.21430481068967255</c:v>
                </c:pt>
                <c:pt idx="10">
                  <c:v>0.21168140013489445</c:v>
                </c:pt>
                <c:pt idx="11">
                  <c:v>0.21421695913053318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5D-4844-8F26-5E6F0022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Fluxo_Diário_DB!$K$5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Fluxo_Diário_DB!$L$33:$W$33</c:f>
              <c:numCache>
                <c:formatCode>_-"R$"\ * #,##0.00_-;\-"R$"\ * #,##0.00_-;_-"R$"\ * "-"??_-;_-@_-</c:formatCode>
                <c:ptCount val="12"/>
                <c:pt idx="0">
                  <c:v>15.569956353055286</c:v>
                </c:pt>
                <c:pt idx="1">
                  <c:v>17.61349424247409</c:v>
                </c:pt>
                <c:pt idx="2">
                  <c:v>11.662502959848299</c:v>
                </c:pt>
                <c:pt idx="3">
                  <c:v>15.901430028544244</c:v>
                </c:pt>
                <c:pt idx="4">
                  <c:v>11.798399227022657</c:v>
                </c:pt>
                <c:pt idx="5">
                  <c:v>7.3374049181801837</c:v>
                </c:pt>
                <c:pt idx="6">
                  <c:v>6.5060000000000002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69-4DED-AB42-3B0F3DDA7D37}"/>
            </c:ext>
          </c:extLst>
        </c:ser>
        <c:ser>
          <c:idx val="0"/>
          <c:order val="1"/>
          <c:tx>
            <c:strRef>
              <c:f>Fluxo_Diário_DB!$K$3</c:f>
              <c:strCache>
                <c:ptCount val="1"/>
                <c:pt idx="0">
                  <c:v>Proj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Fluxo_Diário_DB!$L$2:$W$2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Fluxo_Diário_DB!$L$31:$W$31</c:f>
              <c:numCache>
                <c:formatCode>_-"R$"\ * #,##0.00_-;\-"R$"\ * #,##0.00_-;_-"R$"\ * "-"??_-;_-@_-</c:formatCode>
                <c:ptCount val="12"/>
                <c:pt idx="0">
                  <c:v>12.75528345235308</c:v>
                </c:pt>
                <c:pt idx="1">
                  <c:v>14.248413395689015</c:v>
                </c:pt>
                <c:pt idx="2">
                  <c:v>14.217303010711754</c:v>
                </c:pt>
                <c:pt idx="3">
                  <c:v>14.138652653730601</c:v>
                </c:pt>
                <c:pt idx="4">
                  <c:v>14.23662601993758</c:v>
                </c:pt>
                <c:pt idx="5">
                  <c:v>14.221960680461603</c:v>
                </c:pt>
                <c:pt idx="6">
                  <c:v>14.193081427743403</c:v>
                </c:pt>
                <c:pt idx="7">
                  <c:v>14.278444932766478</c:v>
                </c:pt>
                <c:pt idx="8">
                  <c:v>14.187024154815862</c:v>
                </c:pt>
                <c:pt idx="9">
                  <c:v>14.24216433070238</c:v>
                </c:pt>
                <c:pt idx="10">
                  <c:v>14.194768462795112</c:v>
                </c:pt>
                <c:pt idx="11">
                  <c:v>14.240572038330447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69-4DED-AB42-3B0F3DDA7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80560"/>
        <c:axId val="493879576"/>
      </c:lineChart>
      <c:catAx>
        <c:axId val="4938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79576"/>
        <c:crosses val="autoZero"/>
        <c:auto val="1"/>
        <c:lblAlgn val="ctr"/>
        <c:lblOffset val="100"/>
        <c:noMultiLvlLbl val="0"/>
      </c:catAx>
      <c:valAx>
        <c:axId val="49387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3880560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A388C5-895F-429B-904F-B30A0B891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0F4928-43DA-4967-9D15-39F82C1D6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A6D085-4D81-47C7-86FF-A6BCA3D1A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590B0B-0C2E-457F-9029-56C8EC2DA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0CE2D8-A9B9-424E-9D9E-A52602251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18</xdr:col>
      <xdr:colOff>0</xdr:colOff>
      <xdr:row>54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0E24B91-679D-4AD9-B5B5-39B23A71F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FB19-60DC-4380-BEFA-56ED059A15BE}">
  <dimension ref="A2:E52"/>
  <sheetViews>
    <sheetView showGridLines="0" topLeftCell="A16" zoomScale="80" zoomScaleNormal="80" workbookViewId="0">
      <selection activeCell="E5" sqref="E5:E9"/>
    </sheetView>
  </sheetViews>
  <sheetFormatPr defaultRowHeight="15" x14ac:dyDescent="0.25"/>
  <cols>
    <col min="1" max="1" width="2.7109375" customWidth="1"/>
    <col min="2" max="2" width="34.28515625" bestFit="1" customWidth="1"/>
    <col min="3" max="3" width="127" bestFit="1" customWidth="1"/>
    <col min="4" max="4" width="2.7109375" customWidth="1"/>
    <col min="5" max="5" width="19.5703125" bestFit="1" customWidth="1"/>
  </cols>
  <sheetData>
    <row r="2" spans="1:5" s="2" customFormat="1" ht="33.75" x14ac:dyDescent="0.5">
      <c r="A2" s="1" t="s">
        <v>0</v>
      </c>
    </row>
    <row r="4" spans="1:5" s="3" customFormat="1" x14ac:dyDescent="0.25">
      <c r="B4" s="4" t="s">
        <v>1</v>
      </c>
      <c r="C4" s="4" t="s">
        <v>2</v>
      </c>
      <c r="D4" s="5"/>
      <c r="E4" s="4" t="s">
        <v>3</v>
      </c>
    </row>
    <row r="5" spans="1:5" x14ac:dyDescent="0.25">
      <c r="B5" s="6" t="s">
        <v>4</v>
      </c>
      <c r="C5" s="7" t="s">
        <v>5</v>
      </c>
      <c r="E5" s="8" t="s">
        <v>6</v>
      </c>
    </row>
    <row r="6" spans="1:5" x14ac:dyDescent="0.25">
      <c r="B6" s="9" t="s">
        <v>7</v>
      </c>
      <c r="C6" s="8" t="s">
        <v>8</v>
      </c>
      <c r="E6" s="8" t="s">
        <v>9</v>
      </c>
    </row>
    <row r="7" spans="1:5" x14ac:dyDescent="0.25">
      <c r="B7" s="9" t="s">
        <v>10</v>
      </c>
      <c r="C7" s="8" t="s">
        <v>11</v>
      </c>
      <c r="E7" s="8" t="s">
        <v>12</v>
      </c>
    </row>
    <row r="8" spans="1:5" x14ac:dyDescent="0.25">
      <c r="B8" s="9" t="s">
        <v>104</v>
      </c>
      <c r="C8" s="8" t="s">
        <v>13</v>
      </c>
      <c r="E8" s="8" t="s">
        <v>14</v>
      </c>
    </row>
    <row r="9" spans="1:5" x14ac:dyDescent="0.25">
      <c r="B9" s="9" t="s">
        <v>103</v>
      </c>
      <c r="C9" s="8" t="s">
        <v>15</v>
      </c>
      <c r="E9" s="8" t="s">
        <v>16</v>
      </c>
    </row>
    <row r="10" spans="1:5" x14ac:dyDescent="0.25">
      <c r="B10" s="9" t="s">
        <v>17</v>
      </c>
      <c r="C10" s="8" t="s">
        <v>18</v>
      </c>
    </row>
    <row r="11" spans="1:5" x14ac:dyDescent="0.25">
      <c r="B11" s="6" t="s">
        <v>19</v>
      </c>
      <c r="C11" s="6" t="s">
        <v>20</v>
      </c>
    </row>
    <row r="12" spans="1:5" x14ac:dyDescent="0.25">
      <c r="B12" s="9" t="s">
        <v>21</v>
      </c>
      <c r="C12" s="8" t="s">
        <v>22</v>
      </c>
    </row>
    <row r="13" spans="1:5" x14ac:dyDescent="0.25">
      <c r="B13" s="9" t="s">
        <v>23</v>
      </c>
      <c r="C13" s="8" t="s">
        <v>24</v>
      </c>
    </row>
    <row r="14" spans="1:5" x14ac:dyDescent="0.25">
      <c r="B14" s="9" t="s">
        <v>25</v>
      </c>
      <c r="C14" s="8" t="s">
        <v>26</v>
      </c>
    </row>
    <row r="15" spans="1:5" x14ac:dyDescent="0.25">
      <c r="B15" s="9" t="s">
        <v>27</v>
      </c>
      <c r="C15" s="8" t="s">
        <v>28</v>
      </c>
    </row>
    <row r="16" spans="1:5" x14ac:dyDescent="0.25">
      <c r="B16" s="9" t="s">
        <v>29</v>
      </c>
      <c r="C16" s="8" t="s">
        <v>30</v>
      </c>
    </row>
    <row r="17" spans="2:3" x14ac:dyDescent="0.25">
      <c r="B17" s="9" t="s">
        <v>31</v>
      </c>
      <c r="C17" s="8" t="s">
        <v>32</v>
      </c>
    </row>
    <row r="18" spans="2:3" x14ac:dyDescent="0.25">
      <c r="B18" s="9" t="s">
        <v>33</v>
      </c>
      <c r="C18" s="8" t="s">
        <v>34</v>
      </c>
    </row>
    <row r="19" spans="2:3" x14ac:dyDescent="0.25">
      <c r="B19" s="9" t="s">
        <v>35</v>
      </c>
      <c r="C19" s="8" t="s">
        <v>36</v>
      </c>
    </row>
    <row r="20" spans="2:3" x14ac:dyDescent="0.25">
      <c r="B20" s="9" t="s">
        <v>37</v>
      </c>
      <c r="C20" s="8" t="s">
        <v>38</v>
      </c>
    </row>
    <row r="21" spans="2:3" x14ac:dyDescent="0.25">
      <c r="B21" s="9" t="s">
        <v>39</v>
      </c>
      <c r="C21" s="8" t="s">
        <v>40</v>
      </c>
    </row>
    <row r="22" spans="2:3" x14ac:dyDescent="0.25">
      <c r="B22" s="9" t="s">
        <v>41</v>
      </c>
      <c r="C22" s="8" t="s">
        <v>42</v>
      </c>
    </row>
    <row r="23" spans="2:3" x14ac:dyDescent="0.25">
      <c r="B23" s="9" t="s">
        <v>43</v>
      </c>
      <c r="C23" s="8" t="s">
        <v>44</v>
      </c>
    </row>
    <row r="24" spans="2:3" x14ac:dyDescent="0.25">
      <c r="B24" s="9" t="s">
        <v>45</v>
      </c>
      <c r="C24" s="8" t="s">
        <v>46</v>
      </c>
    </row>
    <row r="25" spans="2:3" x14ac:dyDescent="0.25">
      <c r="B25" s="9" t="s">
        <v>47</v>
      </c>
      <c r="C25" s="8" t="s">
        <v>48</v>
      </c>
    </row>
    <row r="26" spans="2:3" x14ac:dyDescent="0.25">
      <c r="B26" s="9" t="s">
        <v>49</v>
      </c>
      <c r="C26" s="8" t="s">
        <v>50</v>
      </c>
    </row>
    <row r="27" spans="2:3" x14ac:dyDescent="0.25">
      <c r="B27" s="9" t="s">
        <v>51</v>
      </c>
      <c r="C27" s="8" t="s">
        <v>52</v>
      </c>
    </row>
    <row r="28" spans="2:3" x14ac:dyDescent="0.25">
      <c r="B28" s="9" t="s">
        <v>53</v>
      </c>
      <c r="C28" s="8" t="s">
        <v>54</v>
      </c>
    </row>
    <row r="29" spans="2:3" x14ac:dyDescent="0.25">
      <c r="B29" s="9" t="s">
        <v>55</v>
      </c>
      <c r="C29" s="8" t="s">
        <v>56</v>
      </c>
    </row>
    <row r="30" spans="2:3" x14ac:dyDescent="0.25">
      <c r="B30" s="9" t="s">
        <v>57</v>
      </c>
      <c r="C30" s="8" t="s">
        <v>58</v>
      </c>
    </row>
    <row r="31" spans="2:3" x14ac:dyDescent="0.25">
      <c r="B31" s="9" t="s">
        <v>59</v>
      </c>
      <c r="C31" s="8" t="s">
        <v>60</v>
      </c>
    </row>
    <row r="32" spans="2:3" x14ac:dyDescent="0.25">
      <c r="B32" s="9" t="s">
        <v>61</v>
      </c>
      <c r="C32" s="8" t="s">
        <v>62</v>
      </c>
    </row>
    <row r="33" spans="2:3" x14ac:dyDescent="0.25">
      <c r="B33" s="6" t="s">
        <v>63</v>
      </c>
      <c r="C33" s="6" t="s">
        <v>64</v>
      </c>
    </row>
    <row r="34" spans="2:3" x14ac:dyDescent="0.25">
      <c r="B34" s="9" t="s">
        <v>65</v>
      </c>
      <c r="C34" s="8" t="s">
        <v>66</v>
      </c>
    </row>
    <row r="35" spans="2:3" x14ac:dyDescent="0.25">
      <c r="B35" s="9" t="s">
        <v>67</v>
      </c>
      <c r="C35" s="8" t="s">
        <v>68</v>
      </c>
    </row>
    <row r="36" spans="2:3" x14ac:dyDescent="0.25">
      <c r="B36" s="9" t="s">
        <v>69</v>
      </c>
      <c r="C36" s="8" t="s">
        <v>70</v>
      </c>
    </row>
    <row r="37" spans="2:3" x14ac:dyDescent="0.25">
      <c r="B37" s="9" t="s">
        <v>71</v>
      </c>
      <c r="C37" s="8" t="s">
        <v>72</v>
      </c>
    </row>
    <row r="38" spans="2:3" x14ac:dyDescent="0.25">
      <c r="B38" s="9" t="s">
        <v>73</v>
      </c>
      <c r="C38" s="8" t="s">
        <v>74</v>
      </c>
    </row>
    <row r="39" spans="2:3" x14ac:dyDescent="0.25">
      <c r="B39" s="6" t="s">
        <v>75</v>
      </c>
      <c r="C39" s="6" t="s">
        <v>76</v>
      </c>
    </row>
    <row r="40" spans="2:3" x14ac:dyDescent="0.25">
      <c r="B40" s="9" t="s">
        <v>77</v>
      </c>
      <c r="C40" s="8" t="s">
        <v>78</v>
      </c>
    </row>
    <row r="41" spans="2:3" x14ac:dyDescent="0.25">
      <c r="B41" s="9" t="s">
        <v>79</v>
      </c>
      <c r="C41" s="8" t="s">
        <v>80</v>
      </c>
    </row>
    <row r="42" spans="2:3" x14ac:dyDescent="0.25">
      <c r="B42" s="6" t="s">
        <v>81</v>
      </c>
      <c r="C42" s="6" t="s">
        <v>82</v>
      </c>
    </row>
    <row r="43" spans="2:3" x14ac:dyDescent="0.25">
      <c r="B43" s="9" t="s">
        <v>83</v>
      </c>
      <c r="C43" s="8" t="s">
        <v>84</v>
      </c>
    </row>
    <row r="44" spans="2:3" x14ac:dyDescent="0.25">
      <c r="B44" s="9" t="s">
        <v>85</v>
      </c>
      <c r="C44" s="8" t="s">
        <v>86</v>
      </c>
    </row>
    <row r="45" spans="2:3" x14ac:dyDescent="0.25">
      <c r="B45" s="9" t="s">
        <v>87</v>
      </c>
      <c r="C45" s="8" t="s">
        <v>88</v>
      </c>
    </row>
    <row r="46" spans="2:3" x14ac:dyDescent="0.25">
      <c r="B46" s="6" t="s">
        <v>89</v>
      </c>
      <c r="C46" s="6" t="s">
        <v>90</v>
      </c>
    </row>
    <row r="47" spans="2:3" x14ac:dyDescent="0.25">
      <c r="B47" s="9" t="s">
        <v>91</v>
      </c>
      <c r="C47" s="8" t="s">
        <v>92</v>
      </c>
    </row>
    <row r="48" spans="2:3" x14ac:dyDescent="0.25">
      <c r="B48" s="9" t="s">
        <v>93</v>
      </c>
      <c r="C48" s="8" t="s">
        <v>94</v>
      </c>
    </row>
    <row r="49" spans="2:3" x14ac:dyDescent="0.25">
      <c r="B49" s="6" t="s">
        <v>95</v>
      </c>
      <c r="C49" s="6" t="s">
        <v>96</v>
      </c>
    </row>
    <row r="50" spans="2:3" x14ac:dyDescent="0.25">
      <c r="B50" s="9" t="s">
        <v>97</v>
      </c>
      <c r="C50" s="8" t="s">
        <v>98</v>
      </c>
    </row>
    <row r="51" spans="2:3" x14ac:dyDescent="0.25">
      <c r="B51" s="9" t="s">
        <v>99</v>
      </c>
      <c r="C51" s="8" t="s">
        <v>100</v>
      </c>
    </row>
    <row r="52" spans="2:3" x14ac:dyDescent="0.25">
      <c r="B52" s="9" t="s">
        <v>101</v>
      </c>
      <c r="C52" s="8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762A-2C0B-4A41-B0FC-C94B6F86E70D}">
  <dimension ref="A2:P48"/>
  <sheetViews>
    <sheetView showGridLines="0" zoomScale="80" zoomScaleNormal="80" workbookViewId="0">
      <selection activeCell="B41" sqref="B41:B45"/>
    </sheetView>
  </sheetViews>
  <sheetFormatPr defaultRowHeight="15" x14ac:dyDescent="0.25"/>
  <cols>
    <col min="1" max="1" width="2.7109375" customWidth="1"/>
    <col min="2" max="2" width="28.85546875" bestFit="1" customWidth="1"/>
    <col min="3" max="14" width="14.28515625" bestFit="1" customWidth="1"/>
    <col min="16" max="16" width="15.28515625" bestFit="1" customWidth="1"/>
  </cols>
  <sheetData>
    <row r="2" spans="1:16" s="2" customFormat="1" ht="33.75" x14ac:dyDescent="0.5">
      <c r="A2" s="1" t="s">
        <v>105</v>
      </c>
    </row>
    <row r="4" spans="1:16" x14ac:dyDescent="0.25">
      <c r="B4" s="8" t="s">
        <v>106</v>
      </c>
      <c r="C4" s="10" t="str">
        <f ca="1">TEXT(TODAY(),"aaaa")</f>
        <v>2020</v>
      </c>
    </row>
    <row r="5" spans="1:16" x14ac:dyDescent="0.25">
      <c r="B5" s="8" t="s">
        <v>107</v>
      </c>
      <c r="C5" s="11">
        <v>0</v>
      </c>
    </row>
    <row r="7" spans="1:16" x14ac:dyDescent="0.25">
      <c r="B7" s="62" t="s">
        <v>108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6" x14ac:dyDescent="0.25">
      <c r="B8" s="8" t="s">
        <v>1</v>
      </c>
      <c r="C8" s="12" t="s">
        <v>109</v>
      </c>
      <c r="D8" s="12" t="s">
        <v>110</v>
      </c>
      <c r="E8" s="12" t="s">
        <v>111</v>
      </c>
      <c r="F8" s="12" t="s">
        <v>112</v>
      </c>
      <c r="G8" s="12" t="s">
        <v>113</v>
      </c>
      <c r="H8" s="12" t="s">
        <v>114</v>
      </c>
      <c r="I8" s="12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</row>
    <row r="9" spans="1:16" x14ac:dyDescent="0.25">
      <c r="B9" s="8" t="str">
        <f>'Plano de Contas'!B6</f>
        <v>Consultoria</v>
      </c>
      <c r="C9" s="11">
        <v>10253</v>
      </c>
      <c r="D9" s="11">
        <v>10041</v>
      </c>
      <c r="E9" s="11">
        <v>10342</v>
      </c>
      <c r="F9" s="11">
        <v>11842</v>
      </c>
      <c r="G9" s="11">
        <v>11449</v>
      </c>
      <c r="H9" s="11">
        <v>10189</v>
      </c>
      <c r="I9" s="11">
        <v>11481</v>
      </c>
      <c r="J9" s="11">
        <v>11464</v>
      </c>
      <c r="K9" s="11">
        <v>11205</v>
      </c>
      <c r="L9" s="11">
        <v>10930</v>
      </c>
      <c r="M9" s="11">
        <v>11763</v>
      </c>
      <c r="N9" s="11">
        <v>11251</v>
      </c>
    </row>
    <row r="10" spans="1:16" x14ac:dyDescent="0.25">
      <c r="B10" s="8" t="str">
        <f>'Plano de Contas'!B7</f>
        <v>Licença de software</v>
      </c>
      <c r="C10" s="11">
        <v>10358</v>
      </c>
      <c r="D10" s="11">
        <v>10263</v>
      </c>
      <c r="E10" s="11">
        <v>10055</v>
      </c>
      <c r="F10" s="11">
        <v>10745</v>
      </c>
      <c r="G10" s="11">
        <v>10725</v>
      </c>
      <c r="H10" s="11">
        <v>11887</v>
      </c>
      <c r="I10" s="11">
        <v>11547</v>
      </c>
      <c r="J10" s="11">
        <v>10194</v>
      </c>
      <c r="K10" s="11">
        <v>11618</v>
      </c>
      <c r="L10" s="11">
        <v>10717</v>
      </c>
      <c r="M10" s="11">
        <v>10787</v>
      </c>
      <c r="N10" s="11">
        <v>10904</v>
      </c>
      <c r="P10" s="13"/>
    </row>
    <row r="11" spans="1:16" x14ac:dyDescent="0.25">
      <c r="B11" s="8" t="str">
        <f>'Plano de Contas'!B8</f>
        <v>Manutenção de estrutura</v>
      </c>
      <c r="C11" s="11">
        <v>5515</v>
      </c>
      <c r="D11" s="11">
        <v>5379</v>
      </c>
      <c r="E11" s="11">
        <v>5788</v>
      </c>
      <c r="F11" s="11">
        <v>4634</v>
      </c>
      <c r="G11" s="11">
        <v>5447</v>
      </c>
      <c r="H11" s="11">
        <v>4672</v>
      </c>
      <c r="I11" s="11">
        <v>5532</v>
      </c>
      <c r="J11" s="11">
        <v>5451</v>
      </c>
      <c r="K11" s="11">
        <v>4727</v>
      </c>
      <c r="L11" s="11">
        <v>5029</v>
      </c>
      <c r="M11" s="11">
        <v>4485</v>
      </c>
      <c r="N11" s="11">
        <v>4080</v>
      </c>
      <c r="P11" s="13"/>
    </row>
    <row r="12" spans="1:16" x14ac:dyDescent="0.25">
      <c r="B12" s="8" t="str">
        <f>'Plano de Contas'!B9</f>
        <v>Manutenção de Sistemas</v>
      </c>
      <c r="C12" s="11">
        <v>1618</v>
      </c>
      <c r="D12" s="11">
        <v>1998</v>
      </c>
      <c r="E12" s="11">
        <v>1997</v>
      </c>
      <c r="F12" s="11">
        <v>1521</v>
      </c>
      <c r="G12" s="11">
        <v>1551</v>
      </c>
      <c r="H12" s="11">
        <v>1326</v>
      </c>
      <c r="I12" s="11">
        <v>1451</v>
      </c>
      <c r="J12" s="11">
        <v>1611</v>
      </c>
      <c r="K12" s="11">
        <v>1658</v>
      </c>
      <c r="L12" s="11">
        <v>1030</v>
      </c>
      <c r="M12" s="11">
        <v>1165</v>
      </c>
      <c r="N12" s="11">
        <v>1101</v>
      </c>
      <c r="P12" s="13"/>
    </row>
    <row r="13" spans="1:16" x14ac:dyDescent="0.25">
      <c r="B13" s="8" t="str">
        <f>'Plano de Contas'!B10</f>
        <v>Outras receitas</v>
      </c>
      <c r="C13" s="11">
        <v>933</v>
      </c>
      <c r="D13" s="11">
        <v>965</v>
      </c>
      <c r="E13" s="11">
        <v>886</v>
      </c>
      <c r="F13" s="11">
        <v>930</v>
      </c>
      <c r="G13" s="11">
        <v>901</v>
      </c>
      <c r="H13" s="11">
        <v>897</v>
      </c>
      <c r="I13" s="11">
        <v>892</v>
      </c>
      <c r="J13" s="11">
        <v>987</v>
      </c>
      <c r="K13" s="11">
        <v>978</v>
      </c>
      <c r="L13" s="11">
        <v>890</v>
      </c>
      <c r="M13" s="11">
        <v>806</v>
      </c>
      <c r="N13" s="11">
        <v>922</v>
      </c>
      <c r="P13" s="13"/>
    </row>
    <row r="15" spans="1:16" x14ac:dyDescent="0.25">
      <c r="B15" s="8" t="s">
        <v>121</v>
      </c>
      <c r="C15" s="14">
        <f>SUM(C9:C13)</f>
        <v>28677</v>
      </c>
      <c r="D15" s="14">
        <f t="shared" ref="D15:N15" si="0">SUM(D9:D13)</f>
        <v>28646</v>
      </c>
      <c r="E15" s="14">
        <f t="shared" si="0"/>
        <v>29068</v>
      </c>
      <c r="F15" s="14">
        <f t="shared" si="0"/>
        <v>29672</v>
      </c>
      <c r="G15" s="14">
        <f t="shared" si="0"/>
        <v>30073</v>
      </c>
      <c r="H15" s="14">
        <f t="shared" si="0"/>
        <v>28971</v>
      </c>
      <c r="I15" s="14">
        <f t="shared" si="0"/>
        <v>30903</v>
      </c>
      <c r="J15" s="14">
        <f t="shared" si="0"/>
        <v>29707</v>
      </c>
      <c r="K15" s="14">
        <f t="shared" si="0"/>
        <v>30186</v>
      </c>
      <c r="L15" s="14">
        <f t="shared" si="0"/>
        <v>28596</v>
      </c>
      <c r="M15" s="14">
        <f t="shared" si="0"/>
        <v>29006</v>
      </c>
      <c r="N15" s="14">
        <f t="shared" si="0"/>
        <v>28258</v>
      </c>
    </row>
    <row r="17" spans="2:14" x14ac:dyDescent="0.25">
      <c r="B17" s="62" t="s">
        <v>122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</row>
    <row r="18" spans="2:14" x14ac:dyDescent="0.25">
      <c r="B18" s="8" t="str">
        <f>'Plano de Contas'!B12</f>
        <v>Água</v>
      </c>
      <c r="C18" s="11">
        <v>90</v>
      </c>
    </row>
    <row r="19" spans="2:14" x14ac:dyDescent="0.25">
      <c r="B19" s="8" t="str">
        <f>'Plano de Contas'!B13</f>
        <v>Aluguel</v>
      </c>
      <c r="C19" s="11">
        <v>500</v>
      </c>
    </row>
    <row r="20" spans="2:14" x14ac:dyDescent="0.25">
      <c r="B20" s="8" t="str">
        <f>'Plano de Contas'!B14</f>
        <v>Cartório</v>
      </c>
      <c r="C20" s="11">
        <v>150</v>
      </c>
    </row>
    <row r="21" spans="2:14" x14ac:dyDescent="0.25">
      <c r="B21" s="8" t="str">
        <f>'Plano de Contas'!B15</f>
        <v>Combustível</v>
      </c>
      <c r="C21" s="11">
        <v>500</v>
      </c>
    </row>
    <row r="22" spans="2:14" x14ac:dyDescent="0.25">
      <c r="B22" s="8" t="str">
        <f>'Plano de Contas'!B16</f>
        <v>Correios</v>
      </c>
      <c r="C22" s="11">
        <v>150</v>
      </c>
    </row>
    <row r="23" spans="2:14" x14ac:dyDescent="0.25">
      <c r="B23" s="8" t="str">
        <f>'Plano de Contas'!B17</f>
        <v>Encargos sociais</v>
      </c>
      <c r="C23" s="11">
        <v>4000</v>
      </c>
    </row>
    <row r="24" spans="2:14" x14ac:dyDescent="0.25">
      <c r="B24" s="8" t="str">
        <f>'Plano de Contas'!B18</f>
        <v>Energia</v>
      </c>
      <c r="C24" s="11">
        <v>1200</v>
      </c>
    </row>
    <row r="25" spans="2:14" x14ac:dyDescent="0.25">
      <c r="B25" s="8" t="str">
        <f>'Plano de Contas'!B19</f>
        <v>Fones / Comunicação</v>
      </c>
      <c r="C25" s="11">
        <v>200</v>
      </c>
    </row>
    <row r="26" spans="2:14" x14ac:dyDescent="0.25">
      <c r="B26" s="8" t="str">
        <f>'Plano de Contas'!B20</f>
        <v>Impostos/taxas diversas</v>
      </c>
      <c r="C26" s="11">
        <v>1000</v>
      </c>
    </row>
    <row r="27" spans="2:14" x14ac:dyDescent="0.25">
      <c r="B27" s="8" t="str">
        <f>'Plano de Contas'!B21</f>
        <v>Manutenção equipamentos</v>
      </c>
      <c r="C27" s="11">
        <v>600</v>
      </c>
    </row>
    <row r="28" spans="2:14" x14ac:dyDescent="0.25">
      <c r="B28" s="8" t="str">
        <f>'Plano de Contas'!B22</f>
        <v>Manutenção prédio</v>
      </c>
      <c r="C28" s="11">
        <v>600</v>
      </c>
    </row>
    <row r="29" spans="2:14" x14ac:dyDescent="0.25">
      <c r="B29" s="8" t="str">
        <f>'Plano de Contas'!B23</f>
        <v>Material escritório</v>
      </c>
      <c r="C29" s="11">
        <v>246</v>
      </c>
    </row>
    <row r="30" spans="2:14" x14ac:dyDescent="0.25">
      <c r="B30" s="8" t="str">
        <f>'Plano de Contas'!B24</f>
        <v>Material limpeza</v>
      </c>
      <c r="C30" s="11">
        <v>212</v>
      </c>
    </row>
    <row r="31" spans="2:14" x14ac:dyDescent="0.25">
      <c r="B31" s="8" t="str">
        <f>'Plano de Contas'!B25</f>
        <v>Outras DFs</v>
      </c>
      <c r="C31" s="11">
        <v>216</v>
      </c>
    </row>
    <row r="32" spans="2:14" x14ac:dyDescent="0.25">
      <c r="B32" s="8" t="str">
        <f>'Plano de Contas'!B26</f>
        <v>Pro-labore</v>
      </c>
      <c r="C32" s="11">
        <v>228</v>
      </c>
    </row>
    <row r="33" spans="2:14" x14ac:dyDescent="0.25">
      <c r="B33" s="8" t="str">
        <f>'Plano de Contas'!B27</f>
        <v>Propaganda</v>
      </c>
      <c r="C33" s="11">
        <v>230</v>
      </c>
    </row>
    <row r="34" spans="2:14" x14ac:dyDescent="0.25">
      <c r="B34" s="8" t="str">
        <f>'Plano de Contas'!B28</f>
        <v>Salários</v>
      </c>
      <c r="C34" s="11">
        <v>229</v>
      </c>
    </row>
    <row r="35" spans="2:14" x14ac:dyDescent="0.25">
      <c r="B35" s="8" t="str">
        <f>'Plano de Contas'!B29</f>
        <v>Segurança</v>
      </c>
      <c r="C35" s="11">
        <v>206</v>
      </c>
    </row>
    <row r="36" spans="2:14" x14ac:dyDescent="0.25">
      <c r="B36" s="8" t="str">
        <f>'Plano de Contas'!B30</f>
        <v>Seguros</v>
      </c>
      <c r="C36" s="11">
        <v>214</v>
      </c>
    </row>
    <row r="37" spans="2:14" x14ac:dyDescent="0.25">
      <c r="B37" s="8" t="str">
        <f>'Plano de Contas'!B31</f>
        <v>Terceirizados</v>
      </c>
      <c r="C37" s="11">
        <v>211</v>
      </c>
    </row>
    <row r="38" spans="2:14" x14ac:dyDescent="0.25">
      <c r="B38" s="8" t="str">
        <f>'Plano de Contas'!B32</f>
        <v>Viagens</v>
      </c>
      <c r="C38" s="11">
        <v>208</v>
      </c>
    </row>
    <row r="40" spans="2:14" x14ac:dyDescent="0.25">
      <c r="B40" s="62" t="s">
        <v>123</v>
      </c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2:14" x14ac:dyDescent="0.25">
      <c r="B41" s="8" t="str">
        <f>'Plano de Contas'!B34</f>
        <v>Comissões</v>
      </c>
      <c r="C41" s="20">
        <v>0.05</v>
      </c>
      <c r="D41" t="s">
        <v>124</v>
      </c>
    </row>
    <row r="42" spans="2:14" x14ac:dyDescent="0.25">
      <c r="B42" s="8" t="str">
        <f>'Plano de Contas'!B35</f>
        <v>Impostos estaduais</v>
      </c>
      <c r="C42" s="20">
        <v>0</v>
      </c>
      <c r="D42" t="s">
        <v>125</v>
      </c>
    </row>
    <row r="43" spans="2:14" x14ac:dyDescent="0.25">
      <c r="B43" s="8" t="str">
        <f>'Plano de Contas'!B36</f>
        <v>Impostos federais</v>
      </c>
      <c r="C43" s="20">
        <v>0.1133</v>
      </c>
      <c r="D43" t="s">
        <v>126</v>
      </c>
    </row>
    <row r="44" spans="2:14" x14ac:dyDescent="0.25">
      <c r="B44" s="8" t="str">
        <f>'Plano de Contas'!B37</f>
        <v>Impostos municipais</v>
      </c>
      <c r="C44" s="20">
        <v>0.05</v>
      </c>
      <c r="D44" t="s">
        <v>127</v>
      </c>
    </row>
    <row r="45" spans="2:14" x14ac:dyDescent="0.25">
      <c r="B45" s="8" t="str">
        <f>'Plano de Contas'!B38</f>
        <v>Outras despesas variáveis</v>
      </c>
      <c r="C45" s="20">
        <v>0</v>
      </c>
    </row>
    <row r="48" spans="2:14" x14ac:dyDescent="0.25">
      <c r="D48" s="13"/>
    </row>
  </sheetData>
  <mergeCells count="3">
    <mergeCell ref="B7:N7"/>
    <mergeCell ref="B17:N17"/>
    <mergeCell ref="B40:N40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F6B-9CF7-4AFB-94D7-D0B14330218D}">
  <dimension ref="A2:R33"/>
  <sheetViews>
    <sheetView showGridLines="0" zoomScale="80" zoomScaleNormal="80" workbookViewId="0">
      <selection activeCell="D24" sqref="D24"/>
    </sheetView>
  </sheetViews>
  <sheetFormatPr defaultRowHeight="15" x14ac:dyDescent="0.25"/>
  <cols>
    <col min="1" max="1" width="2.7109375" customWidth="1"/>
    <col min="2" max="2" width="26.42578125" bestFit="1" customWidth="1"/>
    <col min="3" max="3" width="16.140625" customWidth="1"/>
    <col min="4" max="4" width="14.7109375" customWidth="1"/>
    <col min="5" max="15" width="14.28515625" bestFit="1" customWidth="1"/>
    <col min="16" max="16" width="14.85546875" customWidth="1"/>
    <col min="18" max="18" width="15.28515625" bestFit="1" customWidth="1"/>
  </cols>
  <sheetData>
    <row r="2" spans="1:16" s="2" customFormat="1" ht="33.75" x14ac:dyDescent="0.5">
      <c r="A2" s="1" t="s">
        <v>128</v>
      </c>
    </row>
    <row r="4" spans="1:16" x14ac:dyDescent="0.25">
      <c r="C4" s="64" t="s">
        <v>130</v>
      </c>
      <c r="D4" s="65"/>
    </row>
    <row r="5" spans="1:16" x14ac:dyDescent="0.25">
      <c r="B5" s="16" t="s">
        <v>129</v>
      </c>
      <c r="C5" s="17" t="s">
        <v>131</v>
      </c>
      <c r="D5" s="17" t="s">
        <v>132</v>
      </c>
    </row>
    <row r="6" spans="1:16" x14ac:dyDescent="0.25">
      <c r="B6" s="15" t="str">
        <f>'Plano de Contas'!B6</f>
        <v>Consultoria</v>
      </c>
      <c r="C6" s="18">
        <v>0.5</v>
      </c>
      <c r="D6" s="18">
        <v>0.5</v>
      </c>
    </row>
    <row r="7" spans="1:16" x14ac:dyDescent="0.25">
      <c r="B7" s="15" t="str">
        <f>'Plano de Contas'!B7</f>
        <v>Licença de software</v>
      </c>
      <c r="C7" s="18">
        <v>0.5</v>
      </c>
      <c r="D7" s="18">
        <v>0.5</v>
      </c>
    </row>
    <row r="8" spans="1:16" x14ac:dyDescent="0.25">
      <c r="B8" s="15" t="str">
        <f>'Plano de Contas'!B8</f>
        <v>Manutenção de estrutura</v>
      </c>
      <c r="C8" s="18">
        <v>0.25</v>
      </c>
      <c r="D8" s="18">
        <v>0.75</v>
      </c>
    </row>
    <row r="9" spans="1:16" x14ac:dyDescent="0.25">
      <c r="B9" s="15" t="str">
        <f>'Plano de Contas'!B9</f>
        <v>Manutenção de Sistemas</v>
      </c>
      <c r="C9" s="12"/>
      <c r="D9" s="18">
        <v>1</v>
      </c>
    </row>
    <row r="10" spans="1:16" x14ac:dyDescent="0.25">
      <c r="B10" s="15" t="str">
        <f>'Plano de Contas'!B10</f>
        <v>Outras receitas</v>
      </c>
      <c r="C10" s="12"/>
      <c r="D10" s="18">
        <v>1</v>
      </c>
    </row>
    <row r="12" spans="1:16" x14ac:dyDescent="0.25">
      <c r="B12" s="66" t="s">
        <v>108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</row>
    <row r="13" spans="1:16" x14ac:dyDescent="0.25">
      <c r="B13" s="8"/>
      <c r="C13" s="12" t="str">
        <f>Premissas!C8</f>
        <v>Jan</v>
      </c>
      <c r="D13" s="12" t="str">
        <f>Premissas!D8</f>
        <v>Fev</v>
      </c>
      <c r="E13" s="12" t="str">
        <f>Premissas!E8</f>
        <v>Mar</v>
      </c>
      <c r="F13" s="12" t="str">
        <f>Premissas!F8</f>
        <v>Abr</v>
      </c>
      <c r="G13" s="12" t="str">
        <f>Premissas!G8</f>
        <v>Mai</v>
      </c>
      <c r="H13" s="12" t="str">
        <f>Premissas!H8</f>
        <v>Jun</v>
      </c>
      <c r="I13" s="12" t="str">
        <f>Premissas!I8</f>
        <v>Jul</v>
      </c>
      <c r="J13" s="12" t="str">
        <f>Premissas!J8</f>
        <v>Ago</v>
      </c>
      <c r="K13" s="12" t="str">
        <f>Premissas!K8</f>
        <v>Set</v>
      </c>
      <c r="L13" s="12" t="str">
        <f>Premissas!L8</f>
        <v>Out</v>
      </c>
      <c r="M13" s="12" t="str">
        <f>Premissas!M8</f>
        <v>Nov</v>
      </c>
      <c r="N13" s="12" t="str">
        <f>Premissas!N8</f>
        <v>Dez</v>
      </c>
    </row>
    <row r="14" spans="1:16" x14ac:dyDescent="0.25">
      <c r="B14" s="8" t="str">
        <f>Premissas!B9</f>
        <v>Consultoria</v>
      </c>
      <c r="C14" s="11">
        <f>Premissas!C9</f>
        <v>10253</v>
      </c>
      <c r="D14" s="11">
        <f>Premissas!D9</f>
        <v>10041</v>
      </c>
      <c r="E14" s="11">
        <f>Premissas!E9</f>
        <v>10342</v>
      </c>
      <c r="F14" s="11">
        <f>Premissas!F9</f>
        <v>11842</v>
      </c>
      <c r="G14" s="11">
        <f>Premissas!G9</f>
        <v>11449</v>
      </c>
      <c r="H14" s="11">
        <f>Premissas!H9</f>
        <v>10189</v>
      </c>
      <c r="I14" s="11">
        <f>Premissas!I9</f>
        <v>11481</v>
      </c>
      <c r="J14" s="11">
        <f>Premissas!J9</f>
        <v>11464</v>
      </c>
      <c r="K14" s="11">
        <f>Premissas!K9</f>
        <v>11205</v>
      </c>
      <c r="L14" s="11">
        <f>Premissas!L9</f>
        <v>10930</v>
      </c>
      <c r="M14" s="11">
        <f>Premissas!M9</f>
        <v>11763</v>
      </c>
      <c r="N14" s="11">
        <f>Premissas!N9</f>
        <v>11251</v>
      </c>
    </row>
    <row r="15" spans="1:16" x14ac:dyDescent="0.25">
      <c r="B15" s="8" t="str">
        <f>Premissas!B10</f>
        <v>Licença de software</v>
      </c>
      <c r="C15" s="11">
        <f>Premissas!C10</f>
        <v>10358</v>
      </c>
      <c r="D15" s="11">
        <f>Premissas!D10</f>
        <v>10263</v>
      </c>
      <c r="E15" s="11">
        <f>Premissas!E10</f>
        <v>10055</v>
      </c>
      <c r="F15" s="11">
        <f>Premissas!F10</f>
        <v>10745</v>
      </c>
      <c r="G15" s="11">
        <f>Premissas!G10</f>
        <v>10725</v>
      </c>
      <c r="H15" s="11">
        <f>Premissas!H10</f>
        <v>11887</v>
      </c>
      <c r="I15" s="11">
        <f>Premissas!I10</f>
        <v>11547</v>
      </c>
      <c r="J15" s="11">
        <f>Premissas!J10</f>
        <v>10194</v>
      </c>
      <c r="K15" s="11">
        <f>Premissas!K10</f>
        <v>11618</v>
      </c>
      <c r="L15" s="11">
        <f>Premissas!L10</f>
        <v>10717</v>
      </c>
      <c r="M15" s="11">
        <f>Premissas!M10</f>
        <v>10787</v>
      </c>
      <c r="N15" s="11">
        <f>Premissas!N10</f>
        <v>10904</v>
      </c>
    </row>
    <row r="16" spans="1:16" x14ac:dyDescent="0.25">
      <c r="B16" s="8" t="str">
        <f>Premissas!B11</f>
        <v>Manutenção de estrutura</v>
      </c>
      <c r="C16" s="11">
        <f>Premissas!C11</f>
        <v>5515</v>
      </c>
      <c r="D16" s="11">
        <f>Premissas!D11</f>
        <v>5379</v>
      </c>
      <c r="E16" s="11">
        <f>Premissas!E11</f>
        <v>5788</v>
      </c>
      <c r="F16" s="11">
        <f>Premissas!F11</f>
        <v>4634</v>
      </c>
      <c r="G16" s="11">
        <f>Premissas!G11</f>
        <v>5447</v>
      </c>
      <c r="H16" s="11">
        <f>Premissas!H11</f>
        <v>4672</v>
      </c>
      <c r="I16" s="11">
        <f>Premissas!I11</f>
        <v>5532</v>
      </c>
      <c r="J16" s="11">
        <f>Premissas!J11</f>
        <v>5451</v>
      </c>
      <c r="K16" s="11">
        <f>Premissas!K11</f>
        <v>4727</v>
      </c>
      <c r="L16" s="11">
        <f>Premissas!L11</f>
        <v>5029</v>
      </c>
      <c r="M16" s="11">
        <f>Premissas!M11</f>
        <v>4485</v>
      </c>
      <c r="N16" s="11">
        <f>Premissas!N11</f>
        <v>4080</v>
      </c>
    </row>
    <row r="17" spans="2:18" x14ac:dyDescent="0.25">
      <c r="B17" s="8" t="str">
        <f>Premissas!B12</f>
        <v>Manutenção de Sistemas</v>
      </c>
      <c r="C17" s="11">
        <f>Premissas!C12</f>
        <v>1618</v>
      </c>
      <c r="D17" s="11">
        <f>Premissas!D12</f>
        <v>1998</v>
      </c>
      <c r="E17" s="11">
        <f>Premissas!E12</f>
        <v>1997</v>
      </c>
      <c r="F17" s="11">
        <f>Premissas!F12</f>
        <v>1521</v>
      </c>
      <c r="G17" s="11">
        <f>Premissas!G12</f>
        <v>1551</v>
      </c>
      <c r="H17" s="11">
        <f>Premissas!H12</f>
        <v>1326</v>
      </c>
      <c r="I17" s="11">
        <f>Premissas!I12</f>
        <v>1451</v>
      </c>
      <c r="J17" s="11">
        <f>Premissas!J12</f>
        <v>1611</v>
      </c>
      <c r="K17" s="11">
        <f>Premissas!K12</f>
        <v>1658</v>
      </c>
      <c r="L17" s="11">
        <f>Premissas!L12</f>
        <v>1030</v>
      </c>
      <c r="M17" s="11">
        <f>Premissas!M12</f>
        <v>1165</v>
      </c>
      <c r="N17" s="11">
        <f>Premissas!N12</f>
        <v>1101</v>
      </c>
    </row>
    <row r="18" spans="2:18" x14ac:dyDescent="0.25">
      <c r="B18" s="8" t="str">
        <f>Premissas!B13</f>
        <v>Outras receitas</v>
      </c>
      <c r="C18" s="11">
        <f>Premissas!C13</f>
        <v>933</v>
      </c>
      <c r="D18" s="11">
        <f>Premissas!D13</f>
        <v>965</v>
      </c>
      <c r="E18" s="11">
        <f>Premissas!E13</f>
        <v>886</v>
      </c>
      <c r="F18" s="11">
        <f>Premissas!F13</f>
        <v>930</v>
      </c>
      <c r="G18" s="11">
        <f>Premissas!G13</f>
        <v>901</v>
      </c>
      <c r="H18" s="11">
        <f>Premissas!H13</f>
        <v>897</v>
      </c>
      <c r="I18" s="11">
        <f>Premissas!I13</f>
        <v>892</v>
      </c>
      <c r="J18" s="11">
        <f>Premissas!J13</f>
        <v>987</v>
      </c>
      <c r="K18" s="11">
        <f>Premissas!K13</f>
        <v>978</v>
      </c>
      <c r="L18" s="11">
        <f>Premissas!L13</f>
        <v>890</v>
      </c>
      <c r="M18" s="11">
        <f>Premissas!M13</f>
        <v>806</v>
      </c>
      <c r="N18" s="11">
        <f>Premissas!N13</f>
        <v>922</v>
      </c>
    </row>
    <row r="19" spans="2:18" x14ac:dyDescent="0.25">
      <c r="B19" s="19" t="s">
        <v>121</v>
      </c>
      <c r="C19" s="19">
        <f>SUM(C14:C18)</f>
        <v>28677</v>
      </c>
      <c r="D19" s="19">
        <f t="shared" ref="D19:N19" si="0">SUM(D14:D18)</f>
        <v>28646</v>
      </c>
      <c r="E19" s="19">
        <f t="shared" si="0"/>
        <v>29068</v>
      </c>
      <c r="F19" s="19">
        <f t="shared" si="0"/>
        <v>29672</v>
      </c>
      <c r="G19" s="19">
        <f t="shared" si="0"/>
        <v>30073</v>
      </c>
      <c r="H19" s="19">
        <f t="shared" si="0"/>
        <v>28971</v>
      </c>
      <c r="I19" s="19">
        <f t="shared" si="0"/>
        <v>30903</v>
      </c>
      <c r="J19" s="19">
        <f t="shared" si="0"/>
        <v>29707</v>
      </c>
      <c r="K19" s="19">
        <f t="shared" si="0"/>
        <v>30186</v>
      </c>
      <c r="L19" s="19">
        <f t="shared" si="0"/>
        <v>28596</v>
      </c>
      <c r="M19" s="19">
        <f t="shared" si="0"/>
        <v>29006</v>
      </c>
      <c r="N19" s="19">
        <f t="shared" si="0"/>
        <v>28258</v>
      </c>
      <c r="R19" s="19">
        <f>SUM(C19:Q19)</f>
        <v>351763</v>
      </c>
    </row>
    <row r="22" spans="2:18" x14ac:dyDescent="0.25">
      <c r="B22" s="66" t="s">
        <v>133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2:18" x14ac:dyDescent="0.25">
      <c r="B23" s="8"/>
      <c r="C23" s="12" t="str">
        <f>C13</f>
        <v>Jan</v>
      </c>
      <c r="D23" s="12" t="str">
        <f t="shared" ref="D23:N23" si="1">D13</f>
        <v>Fev</v>
      </c>
      <c r="E23" s="12" t="str">
        <f t="shared" si="1"/>
        <v>Mar</v>
      </c>
      <c r="F23" s="12" t="str">
        <f t="shared" si="1"/>
        <v>Abr</v>
      </c>
      <c r="G23" s="12" t="str">
        <f t="shared" si="1"/>
        <v>Mai</v>
      </c>
      <c r="H23" s="12" t="str">
        <f t="shared" si="1"/>
        <v>Jun</v>
      </c>
      <c r="I23" s="12" t="str">
        <f t="shared" si="1"/>
        <v>Jul</v>
      </c>
      <c r="J23" s="12" t="str">
        <f t="shared" si="1"/>
        <v>Ago</v>
      </c>
      <c r="K23" s="12" t="str">
        <f t="shared" si="1"/>
        <v>Set</v>
      </c>
      <c r="L23" s="12" t="str">
        <f t="shared" si="1"/>
        <v>Out</v>
      </c>
      <c r="M23" s="12" t="str">
        <f t="shared" si="1"/>
        <v>Nov</v>
      </c>
      <c r="N23" s="12" t="str">
        <f t="shared" si="1"/>
        <v>Dez</v>
      </c>
      <c r="O23" s="12" t="s">
        <v>109</v>
      </c>
    </row>
    <row r="24" spans="2:18" x14ac:dyDescent="0.25">
      <c r="B24" s="8" t="str">
        <f>B14</f>
        <v>Consultoria</v>
      </c>
      <c r="C24" s="14">
        <f>C14*C6</f>
        <v>5126.5</v>
      </c>
      <c r="D24" s="14">
        <f>(D14*$C6)+(C14*$D6)</f>
        <v>10147</v>
      </c>
      <c r="E24" s="14">
        <f t="shared" ref="E24:N24" si="2">(E14*$C6)+(D14*$D6)</f>
        <v>10191.5</v>
      </c>
      <c r="F24" s="14">
        <f t="shared" si="2"/>
        <v>11092</v>
      </c>
      <c r="G24" s="14">
        <f t="shared" si="2"/>
        <v>11645.5</v>
      </c>
      <c r="H24" s="14">
        <f t="shared" si="2"/>
        <v>10819</v>
      </c>
      <c r="I24" s="14">
        <f t="shared" si="2"/>
        <v>10835</v>
      </c>
      <c r="J24" s="14">
        <f t="shared" si="2"/>
        <v>11472.5</v>
      </c>
      <c r="K24" s="14">
        <f t="shared" si="2"/>
        <v>11334.5</v>
      </c>
      <c r="L24" s="14">
        <f t="shared" si="2"/>
        <v>11067.5</v>
      </c>
      <c r="M24" s="14">
        <f t="shared" si="2"/>
        <v>11346.5</v>
      </c>
      <c r="N24" s="14">
        <f t="shared" si="2"/>
        <v>11507</v>
      </c>
      <c r="O24" s="14">
        <f>(O14*$C6)+(N14*$D6)</f>
        <v>5625.5</v>
      </c>
    </row>
    <row r="25" spans="2:18" x14ac:dyDescent="0.25">
      <c r="B25" s="8" t="str">
        <f>B15</f>
        <v>Licença de software</v>
      </c>
      <c r="C25" s="14">
        <f>C15*C7</f>
        <v>5179</v>
      </c>
      <c r="D25" s="14">
        <f t="shared" ref="D25:N25" si="3">(D15*$C7)+(C15*$D7)</f>
        <v>10310.5</v>
      </c>
      <c r="E25" s="14">
        <f t="shared" si="3"/>
        <v>10159</v>
      </c>
      <c r="F25" s="14">
        <f t="shared" si="3"/>
        <v>10400</v>
      </c>
      <c r="G25" s="14">
        <f t="shared" si="3"/>
        <v>10735</v>
      </c>
      <c r="H25" s="14">
        <f t="shared" si="3"/>
        <v>11306</v>
      </c>
      <c r="I25" s="14">
        <f t="shared" si="3"/>
        <v>11717</v>
      </c>
      <c r="J25" s="14">
        <f t="shared" si="3"/>
        <v>10870.5</v>
      </c>
      <c r="K25" s="14">
        <f t="shared" si="3"/>
        <v>10906</v>
      </c>
      <c r="L25" s="14">
        <f t="shared" si="3"/>
        <v>11167.5</v>
      </c>
      <c r="M25" s="14">
        <f t="shared" si="3"/>
        <v>10752</v>
      </c>
      <c r="N25" s="14">
        <f t="shared" si="3"/>
        <v>10845.5</v>
      </c>
      <c r="O25" s="14">
        <f>(O15*$C7)+(N15*$D7)</f>
        <v>5452</v>
      </c>
    </row>
    <row r="26" spans="2:18" x14ac:dyDescent="0.25">
      <c r="B26" s="8" t="str">
        <f>B16</f>
        <v>Manutenção de estrutura</v>
      </c>
      <c r="C26" s="14">
        <f>C16*C8</f>
        <v>1378.75</v>
      </c>
      <c r="D26" s="14">
        <f t="shared" ref="D26:M26" si="4">(D16*$C8)+(C16*$D8)</f>
        <v>5481</v>
      </c>
      <c r="E26" s="14">
        <f t="shared" si="4"/>
        <v>5481.25</v>
      </c>
      <c r="F26" s="14">
        <f t="shared" si="4"/>
        <v>5499.5</v>
      </c>
      <c r="G26" s="14">
        <f t="shared" si="4"/>
        <v>4837.25</v>
      </c>
      <c r="H26" s="14">
        <f>(H16*$C8)+(G16*$D8)</f>
        <v>5253.25</v>
      </c>
      <c r="I26" s="14">
        <f t="shared" si="4"/>
        <v>4887</v>
      </c>
      <c r="J26" s="14">
        <f t="shared" si="4"/>
        <v>5511.75</v>
      </c>
      <c r="K26" s="14">
        <f t="shared" si="4"/>
        <v>5270</v>
      </c>
      <c r="L26" s="14">
        <f t="shared" si="4"/>
        <v>4802.5</v>
      </c>
      <c r="M26" s="14">
        <f t="shared" si="4"/>
        <v>4893</v>
      </c>
      <c r="N26" s="14">
        <f>(N16*$C8)+(M16*$D8)</f>
        <v>4383.75</v>
      </c>
      <c r="O26" s="14">
        <f>(O16*$C8)+(N16*$D8)</f>
        <v>3060</v>
      </c>
    </row>
    <row r="27" spans="2:18" x14ac:dyDescent="0.25">
      <c r="B27" s="8" t="str">
        <f>B17</f>
        <v>Manutenção de Sistemas</v>
      </c>
      <c r="C27" s="14">
        <f>C17*C9</f>
        <v>0</v>
      </c>
      <c r="D27" s="14">
        <f t="shared" ref="D27:N27" si="5">(D17*$C9)+(C17*$D9)</f>
        <v>1618</v>
      </c>
      <c r="E27" s="14">
        <f t="shared" si="5"/>
        <v>1998</v>
      </c>
      <c r="F27" s="14">
        <f t="shared" si="5"/>
        <v>1997</v>
      </c>
      <c r="G27" s="14">
        <f t="shared" si="5"/>
        <v>1521</v>
      </c>
      <c r="H27" s="14">
        <f t="shared" si="5"/>
        <v>1551</v>
      </c>
      <c r="I27" s="14">
        <f t="shared" si="5"/>
        <v>1326</v>
      </c>
      <c r="J27" s="14">
        <f t="shared" si="5"/>
        <v>1451</v>
      </c>
      <c r="K27" s="14">
        <f t="shared" si="5"/>
        <v>1611</v>
      </c>
      <c r="L27" s="14">
        <f t="shared" si="5"/>
        <v>1658</v>
      </c>
      <c r="M27" s="14">
        <f t="shared" si="5"/>
        <v>1030</v>
      </c>
      <c r="N27" s="14">
        <f t="shared" si="5"/>
        <v>1165</v>
      </c>
      <c r="O27" s="14">
        <f>(O17*$C9)+(N17*$D9)</f>
        <v>1101</v>
      </c>
    </row>
    <row r="28" spans="2:18" x14ac:dyDescent="0.25">
      <c r="B28" s="8" t="str">
        <f>B18</f>
        <v>Outras receitas</v>
      </c>
      <c r="C28" s="14">
        <f>C18*C10</f>
        <v>0</v>
      </c>
      <c r="D28" s="14">
        <f t="shared" ref="D28:N28" si="6">(D18*$C10)+(C18*$D10)</f>
        <v>933</v>
      </c>
      <c r="E28" s="14">
        <f t="shared" si="6"/>
        <v>965</v>
      </c>
      <c r="F28" s="14">
        <f t="shared" si="6"/>
        <v>886</v>
      </c>
      <c r="G28" s="14">
        <f t="shared" si="6"/>
        <v>930</v>
      </c>
      <c r="H28" s="14">
        <f t="shared" si="6"/>
        <v>901</v>
      </c>
      <c r="I28" s="14">
        <f t="shared" si="6"/>
        <v>897</v>
      </c>
      <c r="J28" s="14">
        <f t="shared" si="6"/>
        <v>892</v>
      </c>
      <c r="K28" s="14">
        <f t="shared" si="6"/>
        <v>987</v>
      </c>
      <c r="L28" s="14">
        <f t="shared" si="6"/>
        <v>978</v>
      </c>
      <c r="M28" s="14">
        <f t="shared" si="6"/>
        <v>890</v>
      </c>
      <c r="N28" s="14">
        <f t="shared" si="6"/>
        <v>806</v>
      </c>
      <c r="O28" s="14">
        <f>(O18*$C10)+(N18*$D10)</f>
        <v>922</v>
      </c>
    </row>
    <row r="29" spans="2:18" x14ac:dyDescent="0.25">
      <c r="B29" s="19" t="s">
        <v>121</v>
      </c>
      <c r="C29" s="19">
        <f t="shared" ref="C29:O29" si="7">SUM(C24:C28)</f>
        <v>11684.25</v>
      </c>
      <c r="D29" s="19">
        <f t="shared" si="7"/>
        <v>28489.5</v>
      </c>
      <c r="E29" s="19">
        <f t="shared" si="7"/>
        <v>28794.75</v>
      </c>
      <c r="F29" s="19">
        <f t="shared" si="7"/>
        <v>29874.5</v>
      </c>
      <c r="G29" s="19">
        <f t="shared" si="7"/>
        <v>29668.75</v>
      </c>
      <c r="H29" s="19">
        <f t="shared" si="7"/>
        <v>29830.25</v>
      </c>
      <c r="I29" s="19">
        <f t="shared" si="7"/>
        <v>29662</v>
      </c>
      <c r="J29" s="19">
        <f t="shared" si="7"/>
        <v>30197.75</v>
      </c>
      <c r="K29" s="19">
        <f t="shared" si="7"/>
        <v>30108.5</v>
      </c>
      <c r="L29" s="19">
        <f t="shared" si="7"/>
        <v>29673.5</v>
      </c>
      <c r="M29" s="19">
        <f t="shared" si="7"/>
        <v>28911.5</v>
      </c>
      <c r="N29" s="19">
        <f t="shared" si="7"/>
        <v>28707.25</v>
      </c>
      <c r="O29" s="19">
        <f t="shared" si="7"/>
        <v>16160.5</v>
      </c>
      <c r="R29" s="19">
        <f>SUM(C29:N29)</f>
        <v>335602.5</v>
      </c>
    </row>
    <row r="33" spans="3:4" x14ac:dyDescent="0.25">
      <c r="C33" s="13"/>
      <c r="D33" s="13"/>
    </row>
  </sheetData>
  <mergeCells count="3">
    <mergeCell ref="C4:D4"/>
    <mergeCell ref="B12:P12"/>
    <mergeCell ref="B22:P2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30A1-0B9F-4AB4-9FCA-518A00489417}">
  <dimension ref="A2:Q72"/>
  <sheetViews>
    <sheetView showGridLines="0" zoomScale="80" zoomScaleNormal="80" workbookViewId="0">
      <pane ySplit="4" topLeftCell="A50" activePane="bottomLeft" state="frozen"/>
      <selection pane="bottomLeft" activeCell="C72" sqref="C72"/>
    </sheetView>
  </sheetViews>
  <sheetFormatPr defaultRowHeight="15" outlineLevelRow="1" x14ac:dyDescent="0.25"/>
  <cols>
    <col min="1" max="1" width="2.7109375" customWidth="1"/>
    <col min="2" max="2" width="41.42578125" bestFit="1" customWidth="1"/>
    <col min="3" max="10" width="14.28515625" bestFit="1" customWidth="1"/>
    <col min="11" max="17" width="15.28515625" bestFit="1" customWidth="1"/>
  </cols>
  <sheetData>
    <row r="2" spans="1:17" s="2" customFormat="1" ht="33.75" x14ac:dyDescent="0.5">
      <c r="A2" s="1" t="str">
        <f ca="1">"Fluxo de Caixa Projetado - "&amp;Premissas!C4</f>
        <v>Fluxo de Caixa Projetado - 2020</v>
      </c>
    </row>
    <row r="4" spans="1:17" x14ac:dyDescent="0.25">
      <c r="B4" s="21" t="s">
        <v>1</v>
      </c>
      <c r="C4" s="17" t="s">
        <v>109</v>
      </c>
      <c r="D4" s="17" t="s">
        <v>110</v>
      </c>
      <c r="E4" s="17" t="s">
        <v>111</v>
      </c>
      <c r="F4" s="17" t="s">
        <v>112</v>
      </c>
      <c r="G4" s="17" t="s">
        <v>113</v>
      </c>
      <c r="H4" s="17" t="s">
        <v>114</v>
      </c>
      <c r="I4" s="17" t="s">
        <v>115</v>
      </c>
      <c r="J4" s="17" t="s">
        <v>116</v>
      </c>
      <c r="K4" s="17" t="s">
        <v>117</v>
      </c>
      <c r="L4" s="17" t="s">
        <v>118</v>
      </c>
      <c r="M4" s="17" t="s">
        <v>119</v>
      </c>
      <c r="N4" s="17" t="s">
        <v>120</v>
      </c>
      <c r="O4" s="17" t="s">
        <v>109</v>
      </c>
      <c r="P4" s="17" t="s">
        <v>121</v>
      </c>
      <c r="Q4" s="17" t="s">
        <v>136</v>
      </c>
    </row>
    <row r="5" spans="1:17" x14ac:dyDescent="0.25">
      <c r="B5" s="22" t="str">
        <f>'Plano de Contas'!B5</f>
        <v>RECEITAS OPERACIONAIS</v>
      </c>
      <c r="C5" s="23">
        <f>SUM(C6:C10)</f>
        <v>11684.25</v>
      </c>
      <c r="D5" s="23">
        <f t="shared" ref="D5:O5" si="0">SUM(D6:D10)</f>
        <v>28489.5</v>
      </c>
      <c r="E5" s="23">
        <f t="shared" si="0"/>
        <v>28794.75</v>
      </c>
      <c r="F5" s="23">
        <f t="shared" si="0"/>
        <v>29874.5</v>
      </c>
      <c r="G5" s="23">
        <f t="shared" si="0"/>
        <v>29668.75</v>
      </c>
      <c r="H5" s="23">
        <f t="shared" si="0"/>
        <v>29830.25</v>
      </c>
      <c r="I5" s="23">
        <f t="shared" si="0"/>
        <v>29662</v>
      </c>
      <c r="J5" s="23">
        <f t="shared" si="0"/>
        <v>30197.75</v>
      </c>
      <c r="K5" s="23">
        <f t="shared" si="0"/>
        <v>30108.5</v>
      </c>
      <c r="L5" s="23">
        <f t="shared" si="0"/>
        <v>29673.5</v>
      </c>
      <c r="M5" s="23">
        <f t="shared" si="0"/>
        <v>28911.5</v>
      </c>
      <c r="N5" s="23">
        <f t="shared" si="0"/>
        <v>28707.25</v>
      </c>
      <c r="O5" s="23">
        <f t="shared" si="0"/>
        <v>16160.5</v>
      </c>
      <c r="P5" s="23">
        <f>SUM(C5:O5)</f>
        <v>351763</v>
      </c>
      <c r="Q5" s="23">
        <f>IF(P5=0,0,AVERAGE(C5:O5))</f>
        <v>27058.692307692309</v>
      </c>
    </row>
    <row r="6" spans="1:17" outlineLevel="1" x14ac:dyDescent="0.25">
      <c r="B6" s="8" t="str">
        <f>'Plano de Contas'!B6</f>
        <v>Consultoria</v>
      </c>
      <c r="C6" s="14">
        <f>Receitas!C24</f>
        <v>5126.5</v>
      </c>
      <c r="D6" s="14">
        <f>Receitas!D24</f>
        <v>10147</v>
      </c>
      <c r="E6" s="14">
        <f>Receitas!E24</f>
        <v>10191.5</v>
      </c>
      <c r="F6" s="14">
        <f>Receitas!F24</f>
        <v>11092</v>
      </c>
      <c r="G6" s="14">
        <f>Receitas!G24</f>
        <v>11645.5</v>
      </c>
      <c r="H6" s="14">
        <f>Receitas!H24</f>
        <v>10819</v>
      </c>
      <c r="I6" s="14">
        <f>Receitas!I24</f>
        <v>10835</v>
      </c>
      <c r="J6" s="14">
        <f>Receitas!J24</f>
        <v>11472.5</v>
      </c>
      <c r="K6" s="14">
        <f>Receitas!K24</f>
        <v>11334.5</v>
      </c>
      <c r="L6" s="14">
        <f>Receitas!L24</f>
        <v>11067.5</v>
      </c>
      <c r="M6" s="14">
        <f>Receitas!M24</f>
        <v>11346.5</v>
      </c>
      <c r="N6" s="14">
        <f>Receitas!N24</f>
        <v>11507</v>
      </c>
      <c r="O6" s="14">
        <f>Receitas!O24</f>
        <v>5625.5</v>
      </c>
      <c r="P6" s="14">
        <f t="shared" ref="P6:P52" si="1">SUM(C6:O6)</f>
        <v>132210</v>
      </c>
      <c r="Q6" s="14">
        <f t="shared" ref="Q6:Q52" si="2">IF(P6=0,0,AVERAGE(C6:O6))</f>
        <v>10170</v>
      </c>
    </row>
    <row r="7" spans="1:17" outlineLevel="1" x14ac:dyDescent="0.25">
      <c r="B7" s="8" t="str">
        <f>'Plano de Contas'!B7</f>
        <v>Licença de software</v>
      </c>
      <c r="C7" s="14">
        <f>Receitas!C25</f>
        <v>5179</v>
      </c>
      <c r="D7" s="14">
        <f>Receitas!D25</f>
        <v>10310.5</v>
      </c>
      <c r="E7" s="14">
        <f>Receitas!E25</f>
        <v>10159</v>
      </c>
      <c r="F7" s="14">
        <f>Receitas!F25</f>
        <v>10400</v>
      </c>
      <c r="G7" s="14">
        <f>Receitas!G25</f>
        <v>10735</v>
      </c>
      <c r="H7" s="14">
        <f>Receitas!H25</f>
        <v>11306</v>
      </c>
      <c r="I7" s="14">
        <f>Receitas!I25</f>
        <v>11717</v>
      </c>
      <c r="J7" s="14">
        <f>Receitas!J25</f>
        <v>10870.5</v>
      </c>
      <c r="K7" s="14">
        <f>Receitas!K25</f>
        <v>10906</v>
      </c>
      <c r="L7" s="14">
        <f>Receitas!L25</f>
        <v>11167.5</v>
      </c>
      <c r="M7" s="14">
        <f>Receitas!M25</f>
        <v>10752</v>
      </c>
      <c r="N7" s="14">
        <f>Receitas!N25</f>
        <v>10845.5</v>
      </c>
      <c r="O7" s="14">
        <f>Receitas!O25</f>
        <v>5452</v>
      </c>
      <c r="P7" s="14">
        <f t="shared" si="1"/>
        <v>129800</v>
      </c>
      <c r="Q7" s="14">
        <f t="shared" si="2"/>
        <v>9984.6153846153848</v>
      </c>
    </row>
    <row r="8" spans="1:17" outlineLevel="1" x14ac:dyDescent="0.25">
      <c r="B8" s="8" t="str">
        <f>'Plano de Contas'!B8</f>
        <v>Manutenção de estrutura</v>
      </c>
      <c r="C8" s="14">
        <f>Receitas!C26</f>
        <v>1378.75</v>
      </c>
      <c r="D8" s="14">
        <f>Receitas!D26</f>
        <v>5481</v>
      </c>
      <c r="E8" s="14">
        <f>Receitas!E26</f>
        <v>5481.25</v>
      </c>
      <c r="F8" s="14">
        <f>Receitas!F26</f>
        <v>5499.5</v>
      </c>
      <c r="G8" s="14">
        <f>Receitas!G26</f>
        <v>4837.25</v>
      </c>
      <c r="H8" s="14">
        <f>Receitas!H26</f>
        <v>5253.25</v>
      </c>
      <c r="I8" s="14">
        <f>Receitas!I26</f>
        <v>4887</v>
      </c>
      <c r="J8" s="14">
        <f>Receitas!J26</f>
        <v>5511.75</v>
      </c>
      <c r="K8" s="14">
        <f>Receitas!K26</f>
        <v>5270</v>
      </c>
      <c r="L8" s="14">
        <f>Receitas!L26</f>
        <v>4802.5</v>
      </c>
      <c r="M8" s="14">
        <f>Receitas!M26</f>
        <v>4893</v>
      </c>
      <c r="N8" s="14">
        <f>Receitas!N26</f>
        <v>4383.75</v>
      </c>
      <c r="O8" s="14">
        <f>Receitas!O26</f>
        <v>3060</v>
      </c>
      <c r="P8" s="14">
        <f t="shared" si="1"/>
        <v>60739</v>
      </c>
      <c r="Q8" s="14">
        <f t="shared" si="2"/>
        <v>4672.2307692307695</v>
      </c>
    </row>
    <row r="9" spans="1:17" outlineLevel="1" x14ac:dyDescent="0.25">
      <c r="B9" s="8" t="str">
        <f>'Plano de Contas'!B9</f>
        <v>Manutenção de Sistemas</v>
      </c>
      <c r="C9" s="14">
        <f>Receitas!C27</f>
        <v>0</v>
      </c>
      <c r="D9" s="14">
        <f>Receitas!D27</f>
        <v>1618</v>
      </c>
      <c r="E9" s="14">
        <f>Receitas!E27</f>
        <v>1998</v>
      </c>
      <c r="F9" s="14">
        <f>Receitas!F27</f>
        <v>1997</v>
      </c>
      <c r="G9" s="14">
        <f>Receitas!G27</f>
        <v>1521</v>
      </c>
      <c r="H9" s="14">
        <f>Receitas!H27</f>
        <v>1551</v>
      </c>
      <c r="I9" s="14">
        <f>Receitas!I27</f>
        <v>1326</v>
      </c>
      <c r="J9" s="14">
        <f>Receitas!J27</f>
        <v>1451</v>
      </c>
      <c r="K9" s="14">
        <f>Receitas!K27</f>
        <v>1611</v>
      </c>
      <c r="L9" s="14">
        <f>Receitas!L27</f>
        <v>1658</v>
      </c>
      <c r="M9" s="14">
        <f>Receitas!M27</f>
        <v>1030</v>
      </c>
      <c r="N9" s="14">
        <f>Receitas!N27</f>
        <v>1165</v>
      </c>
      <c r="O9" s="14">
        <f>Receitas!O27</f>
        <v>1101</v>
      </c>
      <c r="P9" s="14">
        <f t="shared" si="1"/>
        <v>18027</v>
      </c>
      <c r="Q9" s="14">
        <f t="shared" si="2"/>
        <v>1386.6923076923076</v>
      </c>
    </row>
    <row r="10" spans="1:17" outlineLevel="1" x14ac:dyDescent="0.25">
      <c r="B10" s="8" t="str">
        <f>'Plano de Contas'!B10</f>
        <v>Outras receitas</v>
      </c>
      <c r="C10" s="14">
        <f>Receitas!C28</f>
        <v>0</v>
      </c>
      <c r="D10" s="14">
        <f>Receitas!D28</f>
        <v>933</v>
      </c>
      <c r="E10" s="14">
        <f>Receitas!E28</f>
        <v>965</v>
      </c>
      <c r="F10" s="14">
        <f>Receitas!F28</f>
        <v>886</v>
      </c>
      <c r="G10" s="14">
        <f>Receitas!G28</f>
        <v>930</v>
      </c>
      <c r="H10" s="14">
        <f>Receitas!H28</f>
        <v>901</v>
      </c>
      <c r="I10" s="14">
        <f>Receitas!I28</f>
        <v>897</v>
      </c>
      <c r="J10" s="14">
        <f>Receitas!J28</f>
        <v>892</v>
      </c>
      <c r="K10" s="14">
        <f>Receitas!K28</f>
        <v>987</v>
      </c>
      <c r="L10" s="14">
        <f>Receitas!L28</f>
        <v>978</v>
      </c>
      <c r="M10" s="14">
        <f>Receitas!M28</f>
        <v>890</v>
      </c>
      <c r="N10" s="14">
        <f>Receitas!N28</f>
        <v>806</v>
      </c>
      <c r="O10" s="14">
        <f>Receitas!O28</f>
        <v>922</v>
      </c>
      <c r="P10" s="14">
        <f t="shared" si="1"/>
        <v>10987</v>
      </c>
      <c r="Q10" s="14">
        <f t="shared" si="2"/>
        <v>845.15384615384619</v>
      </c>
    </row>
    <row r="11" spans="1:17" x14ac:dyDescent="0.25">
      <c r="B11" s="24" t="str">
        <f>'Plano de Contas'!B11</f>
        <v>DESPESAS FIXAS</v>
      </c>
      <c r="C11" s="25">
        <f>SUM(C12:C32)</f>
        <v>-11190</v>
      </c>
      <c r="D11" s="25">
        <f t="shared" ref="D11:O11" si="3">SUM(D12:D32)</f>
        <v>-11190</v>
      </c>
      <c r="E11" s="25">
        <f t="shared" si="3"/>
        <v>-11190</v>
      </c>
      <c r="F11" s="25">
        <f t="shared" si="3"/>
        <v>-11190</v>
      </c>
      <c r="G11" s="25">
        <f t="shared" si="3"/>
        <v>-11190</v>
      </c>
      <c r="H11" s="25">
        <f t="shared" si="3"/>
        <v>-11190</v>
      </c>
      <c r="I11" s="25">
        <f t="shared" si="3"/>
        <v>-11190</v>
      </c>
      <c r="J11" s="25">
        <f t="shared" si="3"/>
        <v>-11190</v>
      </c>
      <c r="K11" s="25">
        <f t="shared" si="3"/>
        <v>-11190</v>
      </c>
      <c r="L11" s="25">
        <f t="shared" si="3"/>
        <v>-11190</v>
      </c>
      <c r="M11" s="25">
        <f t="shared" si="3"/>
        <v>-11190</v>
      </c>
      <c r="N11" s="25">
        <f t="shared" si="3"/>
        <v>-11190</v>
      </c>
      <c r="O11" s="25">
        <f t="shared" si="3"/>
        <v>-11190</v>
      </c>
      <c r="P11" s="25">
        <f t="shared" si="1"/>
        <v>-145470</v>
      </c>
      <c r="Q11" s="25">
        <f t="shared" si="2"/>
        <v>-11190</v>
      </c>
    </row>
    <row r="12" spans="1:17" outlineLevel="1" x14ac:dyDescent="0.25">
      <c r="B12" s="8" t="str">
        <f>'Plano de Contas'!B12</f>
        <v>Água</v>
      </c>
      <c r="C12" s="14">
        <f>-Premissas!$C18</f>
        <v>-90</v>
      </c>
      <c r="D12" s="14">
        <f>-Premissas!$C18</f>
        <v>-90</v>
      </c>
      <c r="E12" s="14">
        <f>-Premissas!$C18</f>
        <v>-90</v>
      </c>
      <c r="F12" s="14">
        <f>-Premissas!$C18</f>
        <v>-90</v>
      </c>
      <c r="G12" s="14">
        <f>-Premissas!$C18</f>
        <v>-90</v>
      </c>
      <c r="H12" s="14">
        <f>-Premissas!$C18</f>
        <v>-90</v>
      </c>
      <c r="I12" s="14">
        <f>-Premissas!$C18</f>
        <v>-90</v>
      </c>
      <c r="J12" s="14">
        <f>-Premissas!$C18</f>
        <v>-90</v>
      </c>
      <c r="K12" s="14">
        <f>-Premissas!$C18</f>
        <v>-90</v>
      </c>
      <c r="L12" s="14">
        <f>-Premissas!$C18</f>
        <v>-90</v>
      </c>
      <c r="M12" s="14">
        <f>-Premissas!$C18</f>
        <v>-90</v>
      </c>
      <c r="N12" s="14">
        <f>-Premissas!$C18</f>
        <v>-90</v>
      </c>
      <c r="O12" s="14">
        <f>-Premissas!$C18</f>
        <v>-90</v>
      </c>
      <c r="P12" s="14">
        <f t="shared" si="1"/>
        <v>-1170</v>
      </c>
      <c r="Q12" s="14">
        <f t="shared" si="2"/>
        <v>-90</v>
      </c>
    </row>
    <row r="13" spans="1:17" outlineLevel="1" x14ac:dyDescent="0.25">
      <c r="B13" s="8" t="str">
        <f>'Plano de Contas'!B13</f>
        <v>Aluguel</v>
      </c>
      <c r="C13" s="14">
        <f>-Premissas!$C19</f>
        <v>-500</v>
      </c>
      <c r="D13" s="14">
        <f>-Premissas!$C19</f>
        <v>-500</v>
      </c>
      <c r="E13" s="14">
        <f>-Premissas!$C19</f>
        <v>-500</v>
      </c>
      <c r="F13" s="14">
        <f>-Premissas!$C19</f>
        <v>-500</v>
      </c>
      <c r="G13" s="14">
        <f>-Premissas!$C19</f>
        <v>-500</v>
      </c>
      <c r="H13" s="14">
        <f>-Premissas!$C19</f>
        <v>-500</v>
      </c>
      <c r="I13" s="14">
        <f>-Premissas!$C19</f>
        <v>-500</v>
      </c>
      <c r="J13" s="14">
        <f>-Premissas!$C19</f>
        <v>-500</v>
      </c>
      <c r="K13" s="14">
        <f>-Premissas!$C19</f>
        <v>-500</v>
      </c>
      <c r="L13" s="14">
        <f>-Premissas!$C19</f>
        <v>-500</v>
      </c>
      <c r="M13" s="14">
        <f>-Premissas!$C19</f>
        <v>-500</v>
      </c>
      <c r="N13" s="14">
        <f>-Premissas!$C19</f>
        <v>-500</v>
      </c>
      <c r="O13" s="14">
        <f>-Premissas!$C19</f>
        <v>-500</v>
      </c>
      <c r="P13" s="14">
        <f t="shared" si="1"/>
        <v>-6500</v>
      </c>
      <c r="Q13" s="14">
        <f t="shared" si="2"/>
        <v>-500</v>
      </c>
    </row>
    <row r="14" spans="1:17" outlineLevel="1" x14ac:dyDescent="0.25">
      <c r="B14" s="8" t="str">
        <f>'Plano de Contas'!B14</f>
        <v>Cartório</v>
      </c>
      <c r="C14" s="14">
        <f>-Premissas!$C20</f>
        <v>-150</v>
      </c>
      <c r="D14" s="14">
        <f>-Premissas!$C20</f>
        <v>-150</v>
      </c>
      <c r="E14" s="14">
        <f>-Premissas!$C20</f>
        <v>-150</v>
      </c>
      <c r="F14" s="14">
        <f>-Premissas!$C20</f>
        <v>-150</v>
      </c>
      <c r="G14" s="14">
        <f>-Premissas!$C20</f>
        <v>-150</v>
      </c>
      <c r="H14" s="14">
        <f>-Premissas!$C20</f>
        <v>-150</v>
      </c>
      <c r="I14" s="14">
        <f>-Premissas!$C20</f>
        <v>-150</v>
      </c>
      <c r="J14" s="14">
        <f>-Premissas!$C20</f>
        <v>-150</v>
      </c>
      <c r="K14" s="14">
        <f>-Premissas!$C20</f>
        <v>-150</v>
      </c>
      <c r="L14" s="14">
        <f>-Premissas!$C20</f>
        <v>-150</v>
      </c>
      <c r="M14" s="14">
        <f>-Premissas!$C20</f>
        <v>-150</v>
      </c>
      <c r="N14" s="14">
        <f>-Premissas!$C20</f>
        <v>-150</v>
      </c>
      <c r="O14" s="14">
        <f>-Premissas!$C20</f>
        <v>-150</v>
      </c>
      <c r="P14" s="14">
        <f t="shared" si="1"/>
        <v>-1950</v>
      </c>
      <c r="Q14" s="14">
        <f t="shared" si="2"/>
        <v>-150</v>
      </c>
    </row>
    <row r="15" spans="1:17" outlineLevel="1" x14ac:dyDescent="0.25">
      <c r="B15" s="8" t="str">
        <f>'Plano de Contas'!B15</f>
        <v>Combustível</v>
      </c>
      <c r="C15" s="14">
        <f>-Premissas!$C21</f>
        <v>-500</v>
      </c>
      <c r="D15" s="14">
        <f>-Premissas!$C21</f>
        <v>-500</v>
      </c>
      <c r="E15" s="14">
        <f>-Premissas!$C21</f>
        <v>-500</v>
      </c>
      <c r="F15" s="14">
        <f>-Premissas!$C21</f>
        <v>-500</v>
      </c>
      <c r="G15" s="14">
        <f>-Premissas!$C21</f>
        <v>-500</v>
      </c>
      <c r="H15" s="14">
        <f>-Premissas!$C21</f>
        <v>-500</v>
      </c>
      <c r="I15" s="14">
        <f>-Premissas!$C21</f>
        <v>-500</v>
      </c>
      <c r="J15" s="14">
        <f>-Premissas!$C21</f>
        <v>-500</v>
      </c>
      <c r="K15" s="14">
        <f>-Premissas!$C21</f>
        <v>-500</v>
      </c>
      <c r="L15" s="14">
        <f>-Premissas!$C21</f>
        <v>-500</v>
      </c>
      <c r="M15" s="14">
        <f>-Premissas!$C21</f>
        <v>-500</v>
      </c>
      <c r="N15" s="14">
        <f>-Premissas!$C21</f>
        <v>-500</v>
      </c>
      <c r="O15" s="14">
        <f>-Premissas!$C21</f>
        <v>-500</v>
      </c>
      <c r="P15" s="14">
        <f t="shared" si="1"/>
        <v>-6500</v>
      </c>
      <c r="Q15" s="14">
        <f t="shared" si="2"/>
        <v>-500</v>
      </c>
    </row>
    <row r="16" spans="1:17" outlineLevel="1" x14ac:dyDescent="0.25">
      <c r="B16" s="8" t="str">
        <f>'Plano de Contas'!B16</f>
        <v>Correios</v>
      </c>
      <c r="C16" s="14">
        <f>-Premissas!$C22</f>
        <v>-150</v>
      </c>
      <c r="D16" s="14">
        <f>-Premissas!$C22</f>
        <v>-150</v>
      </c>
      <c r="E16" s="14">
        <f>-Premissas!$C22</f>
        <v>-150</v>
      </c>
      <c r="F16" s="14">
        <f>-Premissas!$C22</f>
        <v>-150</v>
      </c>
      <c r="G16" s="14">
        <f>-Premissas!$C22</f>
        <v>-150</v>
      </c>
      <c r="H16" s="14">
        <f>-Premissas!$C22</f>
        <v>-150</v>
      </c>
      <c r="I16" s="14">
        <f>-Premissas!$C22</f>
        <v>-150</v>
      </c>
      <c r="J16" s="14">
        <f>-Premissas!$C22</f>
        <v>-150</v>
      </c>
      <c r="K16" s="14">
        <f>-Premissas!$C22</f>
        <v>-150</v>
      </c>
      <c r="L16" s="14">
        <f>-Premissas!$C22</f>
        <v>-150</v>
      </c>
      <c r="M16" s="14">
        <f>-Premissas!$C22</f>
        <v>-150</v>
      </c>
      <c r="N16" s="14">
        <f>-Premissas!$C22</f>
        <v>-150</v>
      </c>
      <c r="O16" s="14">
        <f>-Premissas!$C22</f>
        <v>-150</v>
      </c>
      <c r="P16" s="14">
        <f t="shared" si="1"/>
        <v>-1950</v>
      </c>
      <c r="Q16" s="14">
        <f t="shared" si="2"/>
        <v>-150</v>
      </c>
    </row>
    <row r="17" spans="2:17" outlineLevel="1" x14ac:dyDescent="0.25">
      <c r="B17" s="8" t="str">
        <f>'Plano de Contas'!B17</f>
        <v>Encargos sociais</v>
      </c>
      <c r="C17" s="14">
        <f>-Premissas!$C23</f>
        <v>-4000</v>
      </c>
      <c r="D17" s="14">
        <f>-Premissas!$C23</f>
        <v>-4000</v>
      </c>
      <c r="E17" s="14">
        <f>-Premissas!$C23</f>
        <v>-4000</v>
      </c>
      <c r="F17" s="14">
        <f>-Premissas!$C23</f>
        <v>-4000</v>
      </c>
      <c r="G17" s="14">
        <f>-Premissas!$C23</f>
        <v>-4000</v>
      </c>
      <c r="H17" s="14">
        <f>-Premissas!$C23</f>
        <v>-4000</v>
      </c>
      <c r="I17" s="14">
        <f>-Premissas!$C23</f>
        <v>-4000</v>
      </c>
      <c r="J17" s="14">
        <f>-Premissas!$C23</f>
        <v>-4000</v>
      </c>
      <c r="K17" s="14">
        <f>-Premissas!$C23</f>
        <v>-4000</v>
      </c>
      <c r="L17" s="14">
        <f>-Premissas!$C23</f>
        <v>-4000</v>
      </c>
      <c r="M17" s="14">
        <f>-Premissas!$C23</f>
        <v>-4000</v>
      </c>
      <c r="N17" s="14">
        <f>-Premissas!$C23</f>
        <v>-4000</v>
      </c>
      <c r="O17" s="14">
        <f>-Premissas!$C23</f>
        <v>-4000</v>
      </c>
      <c r="P17" s="14">
        <f t="shared" si="1"/>
        <v>-52000</v>
      </c>
      <c r="Q17" s="14">
        <f t="shared" si="2"/>
        <v>-4000</v>
      </c>
    </row>
    <row r="18" spans="2:17" outlineLevel="1" x14ac:dyDescent="0.25">
      <c r="B18" s="8" t="str">
        <f>'Plano de Contas'!B18</f>
        <v>Energia</v>
      </c>
      <c r="C18" s="14">
        <f>-Premissas!$C24</f>
        <v>-1200</v>
      </c>
      <c r="D18" s="14">
        <f>-Premissas!$C24</f>
        <v>-1200</v>
      </c>
      <c r="E18" s="14">
        <f>-Premissas!$C24</f>
        <v>-1200</v>
      </c>
      <c r="F18" s="14">
        <f>-Premissas!$C24</f>
        <v>-1200</v>
      </c>
      <c r="G18" s="14">
        <f>-Premissas!$C24</f>
        <v>-1200</v>
      </c>
      <c r="H18" s="14">
        <f>-Premissas!$C24</f>
        <v>-1200</v>
      </c>
      <c r="I18" s="14">
        <f>-Premissas!$C24</f>
        <v>-1200</v>
      </c>
      <c r="J18" s="14">
        <f>-Premissas!$C24</f>
        <v>-1200</v>
      </c>
      <c r="K18" s="14">
        <f>-Premissas!$C24</f>
        <v>-1200</v>
      </c>
      <c r="L18" s="14">
        <f>-Premissas!$C24</f>
        <v>-1200</v>
      </c>
      <c r="M18" s="14">
        <f>-Premissas!$C24</f>
        <v>-1200</v>
      </c>
      <c r="N18" s="14">
        <f>-Premissas!$C24</f>
        <v>-1200</v>
      </c>
      <c r="O18" s="14">
        <f>-Premissas!$C24</f>
        <v>-1200</v>
      </c>
      <c r="P18" s="14">
        <f t="shared" si="1"/>
        <v>-15600</v>
      </c>
      <c r="Q18" s="14">
        <f t="shared" si="2"/>
        <v>-1200</v>
      </c>
    </row>
    <row r="19" spans="2:17" outlineLevel="1" x14ac:dyDescent="0.25">
      <c r="B19" s="8" t="str">
        <f>'Plano de Contas'!B19</f>
        <v>Fones / Comunicação</v>
      </c>
      <c r="C19" s="14">
        <f>-Premissas!$C25</f>
        <v>-200</v>
      </c>
      <c r="D19" s="14">
        <f>-Premissas!$C25</f>
        <v>-200</v>
      </c>
      <c r="E19" s="14">
        <f>-Premissas!$C25</f>
        <v>-200</v>
      </c>
      <c r="F19" s="14">
        <f>-Premissas!$C25</f>
        <v>-200</v>
      </c>
      <c r="G19" s="14">
        <f>-Premissas!$C25</f>
        <v>-200</v>
      </c>
      <c r="H19" s="14">
        <f>-Premissas!$C25</f>
        <v>-200</v>
      </c>
      <c r="I19" s="14">
        <f>-Premissas!$C25</f>
        <v>-200</v>
      </c>
      <c r="J19" s="14">
        <f>-Premissas!$C25</f>
        <v>-200</v>
      </c>
      <c r="K19" s="14">
        <f>-Premissas!$C25</f>
        <v>-200</v>
      </c>
      <c r="L19" s="14">
        <f>-Premissas!$C25</f>
        <v>-200</v>
      </c>
      <c r="M19" s="14">
        <f>-Premissas!$C25</f>
        <v>-200</v>
      </c>
      <c r="N19" s="14">
        <f>-Premissas!$C25</f>
        <v>-200</v>
      </c>
      <c r="O19" s="14">
        <f>-Premissas!$C25</f>
        <v>-200</v>
      </c>
      <c r="P19" s="14">
        <f t="shared" si="1"/>
        <v>-2600</v>
      </c>
      <c r="Q19" s="14">
        <f t="shared" si="2"/>
        <v>-200</v>
      </c>
    </row>
    <row r="20" spans="2:17" outlineLevel="1" x14ac:dyDescent="0.25">
      <c r="B20" s="8" t="str">
        <f>'Plano de Contas'!B20</f>
        <v>Impostos/taxas diversas</v>
      </c>
      <c r="C20" s="14">
        <f>-Premissas!$C26</f>
        <v>-1000</v>
      </c>
      <c r="D20" s="14">
        <f>-Premissas!$C26</f>
        <v>-1000</v>
      </c>
      <c r="E20" s="14">
        <f>-Premissas!$C26</f>
        <v>-1000</v>
      </c>
      <c r="F20" s="14">
        <f>-Premissas!$C26</f>
        <v>-1000</v>
      </c>
      <c r="G20" s="14">
        <f>-Premissas!$C26</f>
        <v>-1000</v>
      </c>
      <c r="H20" s="14">
        <f>-Premissas!$C26</f>
        <v>-1000</v>
      </c>
      <c r="I20" s="14">
        <f>-Premissas!$C26</f>
        <v>-1000</v>
      </c>
      <c r="J20" s="14">
        <f>-Premissas!$C26</f>
        <v>-1000</v>
      </c>
      <c r="K20" s="14">
        <f>-Premissas!$C26</f>
        <v>-1000</v>
      </c>
      <c r="L20" s="14">
        <f>-Premissas!$C26</f>
        <v>-1000</v>
      </c>
      <c r="M20" s="14">
        <f>-Premissas!$C26</f>
        <v>-1000</v>
      </c>
      <c r="N20" s="14">
        <f>-Premissas!$C26</f>
        <v>-1000</v>
      </c>
      <c r="O20" s="14">
        <f>-Premissas!$C26</f>
        <v>-1000</v>
      </c>
      <c r="P20" s="14">
        <f t="shared" si="1"/>
        <v>-13000</v>
      </c>
      <c r="Q20" s="14">
        <f t="shared" si="2"/>
        <v>-1000</v>
      </c>
    </row>
    <row r="21" spans="2:17" outlineLevel="1" x14ac:dyDescent="0.25">
      <c r="B21" s="8" t="str">
        <f>'Plano de Contas'!B21</f>
        <v>Manutenção equipamentos</v>
      </c>
      <c r="C21" s="14">
        <f>-Premissas!$C27</f>
        <v>-600</v>
      </c>
      <c r="D21" s="14">
        <f>-Premissas!$C27</f>
        <v>-600</v>
      </c>
      <c r="E21" s="14">
        <f>-Premissas!$C27</f>
        <v>-600</v>
      </c>
      <c r="F21" s="14">
        <f>-Premissas!$C27</f>
        <v>-600</v>
      </c>
      <c r="G21" s="14">
        <f>-Premissas!$C27</f>
        <v>-600</v>
      </c>
      <c r="H21" s="14">
        <f>-Premissas!$C27</f>
        <v>-600</v>
      </c>
      <c r="I21" s="14">
        <f>-Premissas!$C27</f>
        <v>-600</v>
      </c>
      <c r="J21" s="14">
        <f>-Premissas!$C27</f>
        <v>-600</v>
      </c>
      <c r="K21" s="14">
        <f>-Premissas!$C27</f>
        <v>-600</v>
      </c>
      <c r="L21" s="14">
        <f>-Premissas!$C27</f>
        <v>-600</v>
      </c>
      <c r="M21" s="14">
        <f>-Premissas!$C27</f>
        <v>-600</v>
      </c>
      <c r="N21" s="14">
        <f>-Premissas!$C27</f>
        <v>-600</v>
      </c>
      <c r="O21" s="14">
        <f>-Premissas!$C27</f>
        <v>-600</v>
      </c>
      <c r="P21" s="14">
        <f t="shared" si="1"/>
        <v>-7800</v>
      </c>
      <c r="Q21" s="14">
        <f t="shared" si="2"/>
        <v>-600</v>
      </c>
    </row>
    <row r="22" spans="2:17" outlineLevel="1" x14ac:dyDescent="0.25">
      <c r="B22" s="8" t="str">
        <f>'Plano de Contas'!B22</f>
        <v>Manutenção prédio</v>
      </c>
      <c r="C22" s="14">
        <f>-Premissas!$C28</f>
        <v>-600</v>
      </c>
      <c r="D22" s="14">
        <f>-Premissas!$C28</f>
        <v>-600</v>
      </c>
      <c r="E22" s="14">
        <f>-Premissas!$C28</f>
        <v>-600</v>
      </c>
      <c r="F22" s="14">
        <f>-Premissas!$C28</f>
        <v>-600</v>
      </c>
      <c r="G22" s="14">
        <f>-Premissas!$C28</f>
        <v>-600</v>
      </c>
      <c r="H22" s="14">
        <f>-Premissas!$C28</f>
        <v>-600</v>
      </c>
      <c r="I22" s="14">
        <f>-Premissas!$C28</f>
        <v>-600</v>
      </c>
      <c r="J22" s="14">
        <f>-Premissas!$C28</f>
        <v>-600</v>
      </c>
      <c r="K22" s="14">
        <f>-Premissas!$C28</f>
        <v>-600</v>
      </c>
      <c r="L22" s="14">
        <f>-Premissas!$C28</f>
        <v>-600</v>
      </c>
      <c r="M22" s="14">
        <f>-Premissas!$C28</f>
        <v>-600</v>
      </c>
      <c r="N22" s="14">
        <f>-Premissas!$C28</f>
        <v>-600</v>
      </c>
      <c r="O22" s="14">
        <f>-Premissas!$C28</f>
        <v>-600</v>
      </c>
      <c r="P22" s="14">
        <f t="shared" si="1"/>
        <v>-7800</v>
      </c>
      <c r="Q22" s="14">
        <f t="shared" si="2"/>
        <v>-600</v>
      </c>
    </row>
    <row r="23" spans="2:17" outlineLevel="1" x14ac:dyDescent="0.25">
      <c r="B23" s="8" t="str">
        <f>'Plano de Contas'!B23</f>
        <v>Material escritório</v>
      </c>
      <c r="C23" s="14">
        <f>-Premissas!$C29</f>
        <v>-246</v>
      </c>
      <c r="D23" s="14">
        <f>-Premissas!$C29</f>
        <v>-246</v>
      </c>
      <c r="E23" s="14">
        <f>-Premissas!$C29</f>
        <v>-246</v>
      </c>
      <c r="F23" s="14">
        <f>-Premissas!$C29</f>
        <v>-246</v>
      </c>
      <c r="G23" s="14">
        <f>-Premissas!$C29</f>
        <v>-246</v>
      </c>
      <c r="H23" s="14">
        <f>-Premissas!$C29</f>
        <v>-246</v>
      </c>
      <c r="I23" s="14">
        <f>-Premissas!$C29</f>
        <v>-246</v>
      </c>
      <c r="J23" s="14">
        <f>-Premissas!$C29</f>
        <v>-246</v>
      </c>
      <c r="K23" s="14">
        <f>-Premissas!$C29</f>
        <v>-246</v>
      </c>
      <c r="L23" s="14">
        <f>-Premissas!$C29</f>
        <v>-246</v>
      </c>
      <c r="M23" s="14">
        <f>-Premissas!$C29</f>
        <v>-246</v>
      </c>
      <c r="N23" s="14">
        <f>-Premissas!$C29</f>
        <v>-246</v>
      </c>
      <c r="O23" s="14">
        <f>-Premissas!$C29</f>
        <v>-246</v>
      </c>
      <c r="P23" s="14">
        <f t="shared" si="1"/>
        <v>-3198</v>
      </c>
      <c r="Q23" s="14">
        <f t="shared" si="2"/>
        <v>-246</v>
      </c>
    </row>
    <row r="24" spans="2:17" outlineLevel="1" x14ac:dyDescent="0.25">
      <c r="B24" s="8" t="str">
        <f>'Plano de Contas'!B24</f>
        <v>Material limpeza</v>
      </c>
      <c r="C24" s="14">
        <f>-Premissas!$C30</f>
        <v>-212</v>
      </c>
      <c r="D24" s="14">
        <f>-Premissas!$C30</f>
        <v>-212</v>
      </c>
      <c r="E24" s="14">
        <f>-Premissas!$C30</f>
        <v>-212</v>
      </c>
      <c r="F24" s="14">
        <f>-Premissas!$C30</f>
        <v>-212</v>
      </c>
      <c r="G24" s="14">
        <f>-Premissas!$C30</f>
        <v>-212</v>
      </c>
      <c r="H24" s="14">
        <f>-Premissas!$C30</f>
        <v>-212</v>
      </c>
      <c r="I24" s="14">
        <f>-Premissas!$C30</f>
        <v>-212</v>
      </c>
      <c r="J24" s="14">
        <f>-Premissas!$C30</f>
        <v>-212</v>
      </c>
      <c r="K24" s="14">
        <f>-Premissas!$C30</f>
        <v>-212</v>
      </c>
      <c r="L24" s="14">
        <f>-Premissas!$C30</f>
        <v>-212</v>
      </c>
      <c r="M24" s="14">
        <f>-Premissas!$C30</f>
        <v>-212</v>
      </c>
      <c r="N24" s="14">
        <f>-Premissas!$C30</f>
        <v>-212</v>
      </c>
      <c r="O24" s="14">
        <f>-Premissas!$C30</f>
        <v>-212</v>
      </c>
      <c r="P24" s="14">
        <f t="shared" si="1"/>
        <v>-2756</v>
      </c>
      <c r="Q24" s="14">
        <f t="shared" si="2"/>
        <v>-212</v>
      </c>
    </row>
    <row r="25" spans="2:17" outlineLevel="1" x14ac:dyDescent="0.25">
      <c r="B25" s="8" t="str">
        <f>'Plano de Contas'!B25</f>
        <v>Outras DFs</v>
      </c>
      <c r="C25" s="14">
        <f>-Premissas!$C31</f>
        <v>-216</v>
      </c>
      <c r="D25" s="14">
        <f>-Premissas!$C31</f>
        <v>-216</v>
      </c>
      <c r="E25" s="14">
        <f>-Premissas!$C31</f>
        <v>-216</v>
      </c>
      <c r="F25" s="14">
        <f>-Premissas!$C31</f>
        <v>-216</v>
      </c>
      <c r="G25" s="14">
        <f>-Premissas!$C31</f>
        <v>-216</v>
      </c>
      <c r="H25" s="14">
        <f>-Premissas!$C31</f>
        <v>-216</v>
      </c>
      <c r="I25" s="14">
        <f>-Premissas!$C31</f>
        <v>-216</v>
      </c>
      <c r="J25" s="14">
        <f>-Premissas!$C31</f>
        <v>-216</v>
      </c>
      <c r="K25" s="14">
        <f>-Premissas!$C31</f>
        <v>-216</v>
      </c>
      <c r="L25" s="14">
        <f>-Premissas!$C31</f>
        <v>-216</v>
      </c>
      <c r="M25" s="14">
        <f>-Premissas!$C31</f>
        <v>-216</v>
      </c>
      <c r="N25" s="14">
        <f>-Premissas!$C31</f>
        <v>-216</v>
      </c>
      <c r="O25" s="14">
        <f>-Premissas!$C31</f>
        <v>-216</v>
      </c>
      <c r="P25" s="14">
        <f t="shared" si="1"/>
        <v>-2808</v>
      </c>
      <c r="Q25" s="14">
        <f t="shared" si="2"/>
        <v>-216</v>
      </c>
    </row>
    <row r="26" spans="2:17" outlineLevel="1" x14ac:dyDescent="0.25">
      <c r="B26" s="8" t="str">
        <f>'Plano de Contas'!B26</f>
        <v>Pro-labore</v>
      </c>
      <c r="C26" s="14">
        <f>-Premissas!$C32</f>
        <v>-228</v>
      </c>
      <c r="D26" s="14">
        <f>-Premissas!$C32</f>
        <v>-228</v>
      </c>
      <c r="E26" s="14">
        <f>-Premissas!$C32</f>
        <v>-228</v>
      </c>
      <c r="F26" s="14">
        <f>-Premissas!$C32</f>
        <v>-228</v>
      </c>
      <c r="G26" s="14">
        <f>-Premissas!$C32</f>
        <v>-228</v>
      </c>
      <c r="H26" s="14">
        <f>-Premissas!$C32</f>
        <v>-228</v>
      </c>
      <c r="I26" s="14">
        <f>-Premissas!$C32</f>
        <v>-228</v>
      </c>
      <c r="J26" s="14">
        <f>-Premissas!$C32</f>
        <v>-228</v>
      </c>
      <c r="K26" s="14">
        <f>-Premissas!$C32</f>
        <v>-228</v>
      </c>
      <c r="L26" s="14">
        <f>-Premissas!$C32</f>
        <v>-228</v>
      </c>
      <c r="M26" s="14">
        <f>-Premissas!$C32</f>
        <v>-228</v>
      </c>
      <c r="N26" s="14">
        <f>-Premissas!$C32</f>
        <v>-228</v>
      </c>
      <c r="O26" s="14">
        <f>-Premissas!$C32</f>
        <v>-228</v>
      </c>
      <c r="P26" s="14">
        <f t="shared" si="1"/>
        <v>-2964</v>
      </c>
      <c r="Q26" s="14">
        <f t="shared" si="2"/>
        <v>-228</v>
      </c>
    </row>
    <row r="27" spans="2:17" outlineLevel="1" x14ac:dyDescent="0.25">
      <c r="B27" s="8" t="str">
        <f>'Plano de Contas'!B27</f>
        <v>Propaganda</v>
      </c>
      <c r="C27" s="14">
        <f>-Premissas!$C33</f>
        <v>-230</v>
      </c>
      <c r="D27" s="14">
        <f>-Premissas!$C33</f>
        <v>-230</v>
      </c>
      <c r="E27" s="14">
        <f>-Premissas!$C33</f>
        <v>-230</v>
      </c>
      <c r="F27" s="14">
        <f>-Premissas!$C33</f>
        <v>-230</v>
      </c>
      <c r="G27" s="14">
        <f>-Premissas!$C33</f>
        <v>-230</v>
      </c>
      <c r="H27" s="14">
        <f>-Premissas!$C33</f>
        <v>-230</v>
      </c>
      <c r="I27" s="14">
        <f>-Premissas!$C33</f>
        <v>-230</v>
      </c>
      <c r="J27" s="14">
        <f>-Premissas!$C33</f>
        <v>-230</v>
      </c>
      <c r="K27" s="14">
        <f>-Premissas!$C33</f>
        <v>-230</v>
      </c>
      <c r="L27" s="14">
        <f>-Premissas!$C33</f>
        <v>-230</v>
      </c>
      <c r="M27" s="14">
        <f>-Premissas!$C33</f>
        <v>-230</v>
      </c>
      <c r="N27" s="14">
        <f>-Premissas!$C33</f>
        <v>-230</v>
      </c>
      <c r="O27" s="14">
        <f>-Premissas!$C33</f>
        <v>-230</v>
      </c>
      <c r="P27" s="14">
        <f t="shared" si="1"/>
        <v>-2990</v>
      </c>
      <c r="Q27" s="14">
        <f t="shared" si="2"/>
        <v>-230</v>
      </c>
    </row>
    <row r="28" spans="2:17" outlineLevel="1" x14ac:dyDescent="0.25">
      <c r="B28" s="8" t="str">
        <f>'Plano de Contas'!B28</f>
        <v>Salários</v>
      </c>
      <c r="C28" s="14">
        <f>-Premissas!$C34</f>
        <v>-229</v>
      </c>
      <c r="D28" s="14">
        <f>-Premissas!$C34</f>
        <v>-229</v>
      </c>
      <c r="E28" s="14">
        <f>-Premissas!$C34</f>
        <v>-229</v>
      </c>
      <c r="F28" s="14">
        <f>-Premissas!$C34</f>
        <v>-229</v>
      </c>
      <c r="G28" s="14">
        <f>-Premissas!$C34</f>
        <v>-229</v>
      </c>
      <c r="H28" s="14">
        <f>-Premissas!$C34</f>
        <v>-229</v>
      </c>
      <c r="I28" s="14">
        <f>-Premissas!$C34</f>
        <v>-229</v>
      </c>
      <c r="J28" s="14">
        <f>-Premissas!$C34</f>
        <v>-229</v>
      </c>
      <c r="K28" s="14">
        <f>-Premissas!$C34</f>
        <v>-229</v>
      </c>
      <c r="L28" s="14">
        <f>-Premissas!$C34</f>
        <v>-229</v>
      </c>
      <c r="M28" s="14">
        <f>-Premissas!$C34</f>
        <v>-229</v>
      </c>
      <c r="N28" s="14">
        <f>-Premissas!$C34</f>
        <v>-229</v>
      </c>
      <c r="O28" s="14">
        <f>-Premissas!$C34</f>
        <v>-229</v>
      </c>
      <c r="P28" s="14">
        <f t="shared" si="1"/>
        <v>-2977</v>
      </c>
      <c r="Q28" s="14">
        <f t="shared" si="2"/>
        <v>-229</v>
      </c>
    </row>
    <row r="29" spans="2:17" outlineLevel="1" x14ac:dyDescent="0.25">
      <c r="B29" s="8" t="str">
        <f>'Plano de Contas'!B29</f>
        <v>Segurança</v>
      </c>
      <c r="C29" s="14">
        <f>-Premissas!$C35</f>
        <v>-206</v>
      </c>
      <c r="D29" s="14">
        <f>-Premissas!$C35</f>
        <v>-206</v>
      </c>
      <c r="E29" s="14">
        <f>-Premissas!$C35</f>
        <v>-206</v>
      </c>
      <c r="F29" s="14">
        <f>-Premissas!$C35</f>
        <v>-206</v>
      </c>
      <c r="G29" s="14">
        <f>-Premissas!$C35</f>
        <v>-206</v>
      </c>
      <c r="H29" s="14">
        <f>-Premissas!$C35</f>
        <v>-206</v>
      </c>
      <c r="I29" s="14">
        <f>-Premissas!$C35</f>
        <v>-206</v>
      </c>
      <c r="J29" s="14">
        <f>-Premissas!$C35</f>
        <v>-206</v>
      </c>
      <c r="K29" s="14">
        <f>-Premissas!$C35</f>
        <v>-206</v>
      </c>
      <c r="L29" s="14">
        <f>-Premissas!$C35</f>
        <v>-206</v>
      </c>
      <c r="M29" s="14">
        <f>-Premissas!$C35</f>
        <v>-206</v>
      </c>
      <c r="N29" s="14">
        <f>-Premissas!$C35</f>
        <v>-206</v>
      </c>
      <c r="O29" s="14">
        <f>-Premissas!$C35</f>
        <v>-206</v>
      </c>
      <c r="P29" s="14">
        <f t="shared" si="1"/>
        <v>-2678</v>
      </c>
      <c r="Q29" s="14">
        <f t="shared" si="2"/>
        <v>-206</v>
      </c>
    </row>
    <row r="30" spans="2:17" outlineLevel="1" x14ac:dyDescent="0.25">
      <c r="B30" s="8" t="str">
        <f>'Plano de Contas'!B30</f>
        <v>Seguros</v>
      </c>
      <c r="C30" s="14">
        <f>-Premissas!$C36</f>
        <v>-214</v>
      </c>
      <c r="D30" s="14">
        <f>-Premissas!$C36</f>
        <v>-214</v>
      </c>
      <c r="E30" s="14">
        <f>-Premissas!$C36</f>
        <v>-214</v>
      </c>
      <c r="F30" s="14">
        <f>-Premissas!$C36</f>
        <v>-214</v>
      </c>
      <c r="G30" s="14">
        <f>-Premissas!$C36</f>
        <v>-214</v>
      </c>
      <c r="H30" s="14">
        <f>-Premissas!$C36</f>
        <v>-214</v>
      </c>
      <c r="I30" s="14">
        <f>-Premissas!$C36</f>
        <v>-214</v>
      </c>
      <c r="J30" s="14">
        <f>-Premissas!$C36</f>
        <v>-214</v>
      </c>
      <c r="K30" s="14">
        <f>-Premissas!$C36</f>
        <v>-214</v>
      </c>
      <c r="L30" s="14">
        <f>-Premissas!$C36</f>
        <v>-214</v>
      </c>
      <c r="M30" s="14">
        <f>-Premissas!$C36</f>
        <v>-214</v>
      </c>
      <c r="N30" s="14">
        <f>-Premissas!$C36</f>
        <v>-214</v>
      </c>
      <c r="O30" s="14">
        <f>-Premissas!$C36</f>
        <v>-214</v>
      </c>
      <c r="P30" s="14">
        <f t="shared" si="1"/>
        <v>-2782</v>
      </c>
      <c r="Q30" s="14">
        <f t="shared" si="2"/>
        <v>-214</v>
      </c>
    </row>
    <row r="31" spans="2:17" outlineLevel="1" x14ac:dyDescent="0.25">
      <c r="B31" s="8" t="str">
        <f>'Plano de Contas'!B31</f>
        <v>Terceirizados</v>
      </c>
      <c r="C31" s="14">
        <f>-Premissas!$C37</f>
        <v>-211</v>
      </c>
      <c r="D31" s="14">
        <f>-Premissas!$C37</f>
        <v>-211</v>
      </c>
      <c r="E31" s="14">
        <f>-Premissas!$C37</f>
        <v>-211</v>
      </c>
      <c r="F31" s="14">
        <f>-Premissas!$C37</f>
        <v>-211</v>
      </c>
      <c r="G31" s="14">
        <f>-Premissas!$C37</f>
        <v>-211</v>
      </c>
      <c r="H31" s="14">
        <f>-Premissas!$C37</f>
        <v>-211</v>
      </c>
      <c r="I31" s="14">
        <f>-Premissas!$C37</f>
        <v>-211</v>
      </c>
      <c r="J31" s="14">
        <f>-Premissas!$C37</f>
        <v>-211</v>
      </c>
      <c r="K31" s="14">
        <f>-Premissas!$C37</f>
        <v>-211</v>
      </c>
      <c r="L31" s="14">
        <f>-Premissas!$C37</f>
        <v>-211</v>
      </c>
      <c r="M31" s="14">
        <f>-Premissas!$C37</f>
        <v>-211</v>
      </c>
      <c r="N31" s="14">
        <f>-Premissas!$C37</f>
        <v>-211</v>
      </c>
      <c r="O31" s="14">
        <f>-Premissas!$C37</f>
        <v>-211</v>
      </c>
      <c r="P31" s="14">
        <f t="shared" si="1"/>
        <v>-2743</v>
      </c>
      <c r="Q31" s="14">
        <f t="shared" si="2"/>
        <v>-211</v>
      </c>
    </row>
    <row r="32" spans="2:17" outlineLevel="1" x14ac:dyDescent="0.25">
      <c r="B32" s="8" t="str">
        <f>'Plano de Contas'!B32</f>
        <v>Viagens</v>
      </c>
      <c r="C32" s="14">
        <f>-Premissas!$C38</f>
        <v>-208</v>
      </c>
      <c r="D32" s="14">
        <f>-Premissas!$C38</f>
        <v>-208</v>
      </c>
      <c r="E32" s="14">
        <f>-Premissas!$C38</f>
        <v>-208</v>
      </c>
      <c r="F32" s="14">
        <f>-Premissas!$C38</f>
        <v>-208</v>
      </c>
      <c r="G32" s="14">
        <f>-Premissas!$C38</f>
        <v>-208</v>
      </c>
      <c r="H32" s="14">
        <f>-Premissas!$C38</f>
        <v>-208</v>
      </c>
      <c r="I32" s="14">
        <f>-Premissas!$C38</f>
        <v>-208</v>
      </c>
      <c r="J32" s="14">
        <f>-Premissas!$C38</f>
        <v>-208</v>
      </c>
      <c r="K32" s="14">
        <f>-Premissas!$C38</f>
        <v>-208</v>
      </c>
      <c r="L32" s="14">
        <f>-Premissas!$C38</f>
        <v>-208</v>
      </c>
      <c r="M32" s="14">
        <f>-Premissas!$C38</f>
        <v>-208</v>
      </c>
      <c r="N32" s="14">
        <f>-Premissas!$C38</f>
        <v>-208</v>
      </c>
      <c r="O32" s="14">
        <f>-Premissas!$C38</f>
        <v>-208</v>
      </c>
      <c r="P32" s="14">
        <f t="shared" si="1"/>
        <v>-2704</v>
      </c>
      <c r="Q32" s="14">
        <f t="shared" si="2"/>
        <v>-208</v>
      </c>
    </row>
    <row r="33" spans="2:17" x14ac:dyDescent="0.25">
      <c r="B33" s="24" t="str">
        <f>'Plano de Contas'!B33</f>
        <v>DESPESAS VARIÁVEIS</v>
      </c>
      <c r="C33" s="25">
        <f t="shared" ref="C33:O33" si="4">SUM(C34:C38)</f>
        <v>-1433.8500000000001</v>
      </c>
      <c r="D33" s="25">
        <f t="shared" si="4"/>
        <v>-6115.2541000000001</v>
      </c>
      <c r="E33" s="25">
        <f t="shared" si="4"/>
        <v>-6131.2918</v>
      </c>
      <c r="F33" s="25">
        <f t="shared" si="4"/>
        <v>-6230.4043999999994</v>
      </c>
      <c r="G33" s="25">
        <f t="shared" si="4"/>
        <v>-6349.0876000000007</v>
      </c>
      <c r="H33" s="25">
        <f t="shared" si="4"/>
        <v>-6359.4709000000003</v>
      </c>
      <c r="I33" s="25">
        <f t="shared" si="4"/>
        <v>-6276.1143000000002</v>
      </c>
      <c r="J33" s="25">
        <f t="shared" si="4"/>
        <v>-6531.8099000000002</v>
      </c>
      <c r="K33" s="25">
        <f t="shared" si="4"/>
        <v>-6360.4531000000006</v>
      </c>
      <c r="L33" s="25">
        <f t="shared" si="4"/>
        <v>-6359.1738000000005</v>
      </c>
      <c r="M33" s="25">
        <f t="shared" si="4"/>
        <v>-6120.0268000000005</v>
      </c>
      <c r="N33" s="25">
        <f t="shared" si="4"/>
        <v>-6149.5798000000004</v>
      </c>
      <c r="O33" s="25">
        <f t="shared" si="4"/>
        <v>-4614.5313999999998</v>
      </c>
      <c r="P33" s="25">
        <f t="shared" si="1"/>
        <v>-75031.047900000005</v>
      </c>
      <c r="Q33" s="25">
        <f t="shared" si="2"/>
        <v>-5771.61906923077</v>
      </c>
    </row>
    <row r="34" spans="2:17" outlineLevel="1" x14ac:dyDescent="0.25">
      <c r="B34" s="8" t="str">
        <f>'Plano de Contas'!B34</f>
        <v>Comissões</v>
      </c>
      <c r="C34" s="14">
        <f>-Premissas!$C$41*Premissas!C15</f>
        <v>-1433.8500000000001</v>
      </c>
      <c r="D34" s="14">
        <f>-Premissas!$C$41*Premissas!D15</f>
        <v>-1432.3000000000002</v>
      </c>
      <c r="E34" s="14">
        <f>-Premissas!$C$41*Premissas!E15</f>
        <v>-1453.4</v>
      </c>
      <c r="F34" s="14">
        <f>-Premissas!$C$41*Premissas!F15</f>
        <v>-1483.6000000000001</v>
      </c>
      <c r="G34" s="14">
        <f>-Premissas!$C$41*Premissas!G15</f>
        <v>-1503.65</v>
      </c>
      <c r="H34" s="14">
        <f>-Premissas!$C$41*Premissas!H15</f>
        <v>-1448.5500000000002</v>
      </c>
      <c r="I34" s="14">
        <f>-Premissas!$C$41*Premissas!I15</f>
        <v>-1545.15</v>
      </c>
      <c r="J34" s="14">
        <f>-Premissas!$C$41*Premissas!J15</f>
        <v>-1485.3500000000001</v>
      </c>
      <c r="K34" s="14">
        <f>-Premissas!$C$41*Premissas!K15</f>
        <v>-1509.3000000000002</v>
      </c>
      <c r="L34" s="14">
        <f>-Premissas!$C$41*Premissas!L15</f>
        <v>-1429.8000000000002</v>
      </c>
      <c r="M34" s="14">
        <f>-Premissas!$C$41*Premissas!M15</f>
        <v>-1450.3000000000002</v>
      </c>
      <c r="N34" s="14">
        <f>-Premissas!$C$41*Premissas!N15</f>
        <v>-1412.9</v>
      </c>
      <c r="O34" s="14">
        <f>-Premissas!$C$41*Premissas!O15</f>
        <v>0</v>
      </c>
      <c r="P34" s="14">
        <f t="shared" si="1"/>
        <v>-17588.150000000001</v>
      </c>
      <c r="Q34" s="14">
        <f t="shared" si="2"/>
        <v>-1352.9346153846154</v>
      </c>
    </row>
    <row r="35" spans="2:17" outlineLevel="1" x14ac:dyDescent="0.25">
      <c r="B35" s="8" t="str">
        <f>'Plano de Contas'!B35</f>
        <v>Impostos estaduais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f t="shared" si="1"/>
        <v>0</v>
      </c>
      <c r="Q35" s="11">
        <f t="shared" si="2"/>
        <v>0</v>
      </c>
    </row>
    <row r="36" spans="2:17" outlineLevel="1" x14ac:dyDescent="0.25">
      <c r="B36" s="8" t="str">
        <f>'Plano de Contas'!B36</f>
        <v>Impostos federais</v>
      </c>
      <c r="C36" s="11">
        <v>0</v>
      </c>
      <c r="D36" s="14">
        <f>-Premissas!$C$43*Premissas!C15</f>
        <v>-3249.1041</v>
      </c>
      <c r="E36" s="14">
        <f>-Premissas!$C$43*Premissas!D15</f>
        <v>-3245.5918000000001</v>
      </c>
      <c r="F36" s="14">
        <f>-Premissas!$C$43*Premissas!E15</f>
        <v>-3293.4043999999999</v>
      </c>
      <c r="G36" s="14">
        <f>-Premissas!$C$43*Premissas!F15</f>
        <v>-3361.8375999999998</v>
      </c>
      <c r="H36" s="14">
        <f>-Premissas!$C$43*Premissas!G15</f>
        <v>-3407.2709</v>
      </c>
      <c r="I36" s="14">
        <f>-Premissas!$C$43*Premissas!H15</f>
        <v>-3282.4142999999999</v>
      </c>
      <c r="J36" s="14">
        <f>-Premissas!$C$43*Premissas!I15</f>
        <v>-3501.3098999999997</v>
      </c>
      <c r="K36" s="14">
        <f>-Premissas!$C$43*Premissas!J15</f>
        <v>-3365.8031000000001</v>
      </c>
      <c r="L36" s="14">
        <f>-Premissas!$C$43*Premissas!K15</f>
        <v>-3420.0738000000001</v>
      </c>
      <c r="M36" s="14">
        <f>-Premissas!$C$43*Premissas!L15</f>
        <v>-3239.9267999999997</v>
      </c>
      <c r="N36" s="14">
        <f>-Premissas!$C$43*Premissas!M15</f>
        <v>-3286.3798000000002</v>
      </c>
      <c r="O36" s="14">
        <f>-Premissas!$C$43*Premissas!N15</f>
        <v>-3201.6313999999998</v>
      </c>
      <c r="P36" s="14">
        <f t="shared" si="1"/>
        <v>-39854.747900000002</v>
      </c>
      <c r="Q36" s="14">
        <f t="shared" si="2"/>
        <v>-3065.7498384615387</v>
      </c>
    </row>
    <row r="37" spans="2:17" outlineLevel="1" x14ac:dyDescent="0.25">
      <c r="B37" s="8" t="str">
        <f>'Plano de Contas'!B37</f>
        <v>Impostos municipais</v>
      </c>
      <c r="C37" s="8">
        <v>0</v>
      </c>
      <c r="D37" s="14">
        <f>-Premissas!$C$44*Premissas!C15</f>
        <v>-1433.8500000000001</v>
      </c>
      <c r="E37" s="14">
        <f>-Premissas!$C$44*Premissas!D15</f>
        <v>-1432.3000000000002</v>
      </c>
      <c r="F37" s="14">
        <f>-Premissas!$C$44*Premissas!E15</f>
        <v>-1453.4</v>
      </c>
      <c r="G37" s="14">
        <f>-Premissas!$C$44*Premissas!F15</f>
        <v>-1483.6000000000001</v>
      </c>
      <c r="H37" s="14">
        <f>-Premissas!$C$44*Premissas!G15</f>
        <v>-1503.65</v>
      </c>
      <c r="I37" s="14">
        <f>-Premissas!$C$44*Premissas!H15</f>
        <v>-1448.5500000000002</v>
      </c>
      <c r="J37" s="14">
        <f>-Premissas!$C$44*Premissas!I15</f>
        <v>-1545.15</v>
      </c>
      <c r="K37" s="14">
        <f>-Premissas!$C$44*Premissas!J15</f>
        <v>-1485.3500000000001</v>
      </c>
      <c r="L37" s="14">
        <f>-Premissas!$C$44*Premissas!K15</f>
        <v>-1509.3000000000002</v>
      </c>
      <c r="M37" s="14">
        <f>-Premissas!$C$44*Premissas!L15</f>
        <v>-1429.8000000000002</v>
      </c>
      <c r="N37" s="14">
        <f>-Premissas!$C$44*Premissas!M15</f>
        <v>-1450.3000000000002</v>
      </c>
      <c r="O37" s="14">
        <f>-Premissas!$C$44*Premissas!N15</f>
        <v>-1412.9</v>
      </c>
      <c r="P37" s="14">
        <f t="shared" si="1"/>
        <v>-17588.150000000001</v>
      </c>
      <c r="Q37" s="14">
        <f t="shared" si="2"/>
        <v>-1352.9346153846154</v>
      </c>
    </row>
    <row r="38" spans="2:17" outlineLevel="1" x14ac:dyDescent="0.25">
      <c r="B38" s="8" t="str">
        <f>'Plano de Contas'!B38</f>
        <v>Outras despesas variáveis</v>
      </c>
      <c r="C38" s="14">
        <f>-Premissas!$C$45*Premissas!C15</f>
        <v>0</v>
      </c>
      <c r="D38" s="14">
        <f>-Premissas!$C$45*Premissas!D15</f>
        <v>0</v>
      </c>
      <c r="E38" s="14">
        <f>-Premissas!$C$45*Premissas!E15</f>
        <v>0</v>
      </c>
      <c r="F38" s="14">
        <f>-Premissas!$C$45*Premissas!F15</f>
        <v>0</v>
      </c>
      <c r="G38" s="14">
        <f>-Premissas!$C$45*Premissas!G15</f>
        <v>0</v>
      </c>
      <c r="H38" s="14">
        <f>-Premissas!$C$45*Premissas!H15</f>
        <v>0</v>
      </c>
      <c r="I38" s="14">
        <f>-Premissas!$C$45*Premissas!I15</f>
        <v>0</v>
      </c>
      <c r="J38" s="14">
        <f>-Premissas!$C$45*Premissas!J15</f>
        <v>0</v>
      </c>
      <c r="K38" s="14">
        <f>-Premissas!$C$45*Premissas!K15</f>
        <v>0</v>
      </c>
      <c r="L38" s="14">
        <f>-Premissas!$C$45*Premissas!L15</f>
        <v>0</v>
      </c>
      <c r="M38" s="14">
        <f>-Premissas!$C$45*Premissas!M15</f>
        <v>0</v>
      </c>
      <c r="N38" s="14">
        <f>-Premissas!$C$45*Premissas!N15</f>
        <v>0</v>
      </c>
      <c r="O38" s="14">
        <f>-Premissas!$C$45*Premissas!O15</f>
        <v>0</v>
      </c>
      <c r="P38" s="14">
        <f t="shared" si="1"/>
        <v>0</v>
      </c>
      <c r="Q38" s="14">
        <f t="shared" si="2"/>
        <v>0</v>
      </c>
    </row>
    <row r="39" spans="2:17" x14ac:dyDescent="0.25">
      <c r="B39" s="22" t="str">
        <f>'Plano de Contas'!B39</f>
        <v>ENTRADA FL. INVESTIMENTO</v>
      </c>
      <c r="C39" s="23">
        <f>SUM(C40:C41)</f>
        <v>0</v>
      </c>
      <c r="D39" s="23">
        <f t="shared" ref="D39:O39" si="5">SUM(D40:D41)</f>
        <v>0</v>
      </c>
      <c r="E39" s="23">
        <f t="shared" si="5"/>
        <v>0</v>
      </c>
      <c r="F39" s="23">
        <f t="shared" si="5"/>
        <v>0</v>
      </c>
      <c r="G39" s="23">
        <f t="shared" si="5"/>
        <v>0</v>
      </c>
      <c r="H39" s="23">
        <f t="shared" si="5"/>
        <v>0</v>
      </c>
      <c r="I39" s="23">
        <f t="shared" si="5"/>
        <v>0</v>
      </c>
      <c r="J39" s="23">
        <f t="shared" si="5"/>
        <v>0</v>
      </c>
      <c r="K39" s="23">
        <f t="shared" si="5"/>
        <v>0</v>
      </c>
      <c r="L39" s="23">
        <f t="shared" si="5"/>
        <v>0</v>
      </c>
      <c r="M39" s="23">
        <f t="shared" si="5"/>
        <v>0</v>
      </c>
      <c r="N39" s="23">
        <f t="shared" si="5"/>
        <v>0</v>
      </c>
      <c r="O39" s="23">
        <f t="shared" si="5"/>
        <v>0</v>
      </c>
      <c r="P39" s="23">
        <f t="shared" si="1"/>
        <v>0</v>
      </c>
      <c r="Q39" s="23">
        <f t="shared" si="2"/>
        <v>0</v>
      </c>
    </row>
    <row r="40" spans="2:17" outlineLevel="1" x14ac:dyDescent="0.25">
      <c r="B40" s="8" t="str">
        <f>'Plano de Contas'!B40</f>
        <v>Resgate Aplicações Financeiras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f t="shared" si="1"/>
        <v>0</v>
      </c>
      <c r="Q40" s="11">
        <f t="shared" si="2"/>
        <v>0</v>
      </c>
    </row>
    <row r="41" spans="2:17" outlineLevel="1" x14ac:dyDescent="0.25">
      <c r="B41" s="8" t="str">
        <f>'Plano de Contas'!B41</f>
        <v>Venda Ativo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f t="shared" si="1"/>
        <v>0</v>
      </c>
      <c r="Q41" s="11">
        <f t="shared" si="2"/>
        <v>0</v>
      </c>
    </row>
    <row r="42" spans="2:17" x14ac:dyDescent="0.25">
      <c r="B42" s="24" t="str">
        <f>'Plano de Contas'!B42</f>
        <v>SAÍDA FL. INVESTIMENTO</v>
      </c>
      <c r="C42" s="25">
        <f>SUM(C43:C45)</f>
        <v>0</v>
      </c>
      <c r="D42" s="25">
        <f t="shared" ref="D42:O42" si="6">SUM(D43:D45)</f>
        <v>0</v>
      </c>
      <c r="E42" s="25">
        <f t="shared" si="6"/>
        <v>0</v>
      </c>
      <c r="F42" s="25">
        <f t="shared" si="6"/>
        <v>0</v>
      </c>
      <c r="G42" s="25">
        <f t="shared" si="6"/>
        <v>0</v>
      </c>
      <c r="H42" s="25">
        <f t="shared" si="6"/>
        <v>0</v>
      </c>
      <c r="I42" s="25">
        <f t="shared" si="6"/>
        <v>0</v>
      </c>
      <c r="J42" s="25">
        <f t="shared" si="6"/>
        <v>0</v>
      </c>
      <c r="K42" s="25">
        <f t="shared" si="6"/>
        <v>0</v>
      </c>
      <c r="L42" s="25">
        <f t="shared" si="6"/>
        <v>0</v>
      </c>
      <c r="M42" s="25">
        <f t="shared" si="6"/>
        <v>0</v>
      </c>
      <c r="N42" s="25">
        <f t="shared" si="6"/>
        <v>0</v>
      </c>
      <c r="O42" s="25">
        <f t="shared" si="6"/>
        <v>0</v>
      </c>
      <c r="P42" s="25">
        <f t="shared" si="1"/>
        <v>0</v>
      </c>
      <c r="Q42" s="25">
        <f t="shared" si="2"/>
        <v>0</v>
      </c>
    </row>
    <row r="43" spans="2:17" outlineLevel="1" x14ac:dyDescent="0.25">
      <c r="B43" s="8" t="str">
        <f>'Plano de Contas'!B43</f>
        <v>Aplicação financeira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f t="shared" si="1"/>
        <v>0</v>
      </c>
      <c r="Q43" s="8">
        <f t="shared" si="2"/>
        <v>0</v>
      </c>
    </row>
    <row r="44" spans="2:17" outlineLevel="1" x14ac:dyDescent="0.25">
      <c r="B44" s="8" t="str">
        <f>'Plano de Contas'!B44</f>
        <v>Ativo imobilizado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f t="shared" si="1"/>
        <v>0</v>
      </c>
      <c r="Q44" s="8">
        <f t="shared" si="2"/>
        <v>0</v>
      </c>
    </row>
    <row r="45" spans="2:17" outlineLevel="1" x14ac:dyDescent="0.25">
      <c r="B45" s="8" t="str">
        <f>'Plano de Contas'!B45</f>
        <v>Treinamento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f t="shared" si="1"/>
        <v>0</v>
      </c>
      <c r="Q45" s="8">
        <f t="shared" si="2"/>
        <v>0</v>
      </c>
    </row>
    <row r="46" spans="2:17" x14ac:dyDescent="0.25">
      <c r="B46" s="22" t="str">
        <f>'Plano de Contas'!B46</f>
        <v>ENTRADA FL. FINANCIAMENTO</v>
      </c>
      <c r="C46" s="23">
        <f t="shared" ref="C46:O46" si="7">SUM(C47:C48)</f>
        <v>939.60000000000014</v>
      </c>
      <c r="D46" s="23">
        <f t="shared" si="7"/>
        <v>0</v>
      </c>
      <c r="E46" s="23">
        <f t="shared" si="7"/>
        <v>0</v>
      </c>
      <c r="F46" s="23">
        <f t="shared" si="7"/>
        <v>0</v>
      </c>
      <c r="G46" s="23">
        <f t="shared" si="7"/>
        <v>0</v>
      </c>
      <c r="H46" s="23">
        <f t="shared" si="7"/>
        <v>0</v>
      </c>
      <c r="I46" s="23">
        <f t="shared" si="7"/>
        <v>0</v>
      </c>
      <c r="J46" s="23">
        <f t="shared" si="7"/>
        <v>0</v>
      </c>
      <c r="K46" s="23">
        <f t="shared" si="7"/>
        <v>0</v>
      </c>
      <c r="L46" s="23">
        <f t="shared" si="7"/>
        <v>0</v>
      </c>
      <c r="M46" s="23">
        <f t="shared" si="7"/>
        <v>0</v>
      </c>
      <c r="N46" s="23">
        <f t="shared" si="7"/>
        <v>0</v>
      </c>
      <c r="O46" s="23">
        <f t="shared" si="7"/>
        <v>0</v>
      </c>
      <c r="P46" s="23">
        <f t="shared" si="1"/>
        <v>939.60000000000014</v>
      </c>
      <c r="Q46" s="23">
        <f t="shared" si="2"/>
        <v>72.276923076923083</v>
      </c>
    </row>
    <row r="47" spans="2:17" outlineLevel="1" x14ac:dyDescent="0.25">
      <c r="B47" s="8" t="str">
        <f>'Plano de Contas'!B47</f>
        <v>Aporte Sócios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f t="shared" si="1"/>
        <v>0</v>
      </c>
      <c r="Q47" s="11">
        <f t="shared" si="2"/>
        <v>0</v>
      </c>
    </row>
    <row r="48" spans="2:17" outlineLevel="1" x14ac:dyDescent="0.25">
      <c r="B48" s="8" t="str">
        <f>'Plano de Contas'!B48</f>
        <v>Recebimento de Empréstimo</v>
      </c>
      <c r="C48" s="11">
        <f>IF(SUM(C54,C64,C65,C49)&lt;0,-1*SUM(C54,C64,C65,C49),0)</f>
        <v>939.60000000000014</v>
      </c>
      <c r="D48" s="11">
        <f t="shared" ref="D48:N48" si="8">IF(SUM(D54,D64,D65,D49)&lt;0,-1*SUM(D54,D64,D65,D49),0)</f>
        <v>0</v>
      </c>
      <c r="E48" s="11">
        <f t="shared" si="8"/>
        <v>0</v>
      </c>
      <c r="F48" s="11">
        <f t="shared" si="8"/>
        <v>0</v>
      </c>
      <c r="G48" s="11">
        <f t="shared" si="8"/>
        <v>0</v>
      </c>
      <c r="H48" s="11">
        <f t="shared" si="8"/>
        <v>0</v>
      </c>
      <c r="I48" s="11">
        <f t="shared" si="8"/>
        <v>0</v>
      </c>
      <c r="J48" s="11">
        <f t="shared" si="8"/>
        <v>0</v>
      </c>
      <c r="K48" s="11">
        <f t="shared" si="8"/>
        <v>0</v>
      </c>
      <c r="L48" s="11">
        <f t="shared" si="8"/>
        <v>0</v>
      </c>
      <c r="M48" s="11">
        <f t="shared" si="8"/>
        <v>0</v>
      </c>
      <c r="N48" s="11">
        <f t="shared" si="8"/>
        <v>0</v>
      </c>
      <c r="O48" s="11"/>
      <c r="P48" s="11">
        <f t="shared" si="1"/>
        <v>939.60000000000014</v>
      </c>
      <c r="Q48" s="11">
        <f>IF(P48=0,0,AVERAGE(C48:O48))</f>
        <v>78.300000000000011</v>
      </c>
    </row>
    <row r="49" spans="2:17" x14ac:dyDescent="0.25">
      <c r="B49" s="24" t="str">
        <f>'Plano de Contas'!B49</f>
        <v>SAÍDA FL. FINANCIAMENTO</v>
      </c>
      <c r="C49" s="25">
        <f t="shared" ref="C49:O49" si="9">SUM(C50:C52)</f>
        <v>0</v>
      </c>
      <c r="D49" s="25">
        <f t="shared" si="9"/>
        <v>-5432.0903600000011</v>
      </c>
      <c r="E49" s="25">
        <f t="shared" si="9"/>
        <v>-4589.3832800000009</v>
      </c>
      <c r="F49" s="25">
        <f t="shared" si="9"/>
        <v>-4981.6382400000002</v>
      </c>
      <c r="G49" s="25">
        <f t="shared" si="9"/>
        <v>-4851.8649599999999</v>
      </c>
      <c r="H49" s="25">
        <f t="shared" si="9"/>
        <v>-4912.3116399999999</v>
      </c>
      <c r="I49" s="25">
        <f t="shared" si="9"/>
        <v>-4878.3542799999996</v>
      </c>
      <c r="J49" s="25">
        <f t="shared" si="9"/>
        <v>-4990.3760400000001</v>
      </c>
      <c r="K49" s="25">
        <f t="shared" si="9"/>
        <v>-5023.2187599999997</v>
      </c>
      <c r="L49" s="25">
        <f t="shared" si="9"/>
        <v>-4849.7304800000002</v>
      </c>
      <c r="M49" s="25">
        <f t="shared" si="9"/>
        <v>-4640.5892800000001</v>
      </c>
      <c r="N49" s="25">
        <f t="shared" si="9"/>
        <v>-4547.06808</v>
      </c>
      <c r="O49" s="25">
        <f t="shared" si="9"/>
        <v>-142.38744000000005</v>
      </c>
      <c r="P49" s="25">
        <f t="shared" si="1"/>
        <v>-53839.012840000003</v>
      </c>
      <c r="Q49" s="25">
        <f t="shared" si="2"/>
        <v>-4141.4625261538467</v>
      </c>
    </row>
    <row r="50" spans="2:17" outlineLevel="1" x14ac:dyDescent="0.25">
      <c r="B50" s="8" t="str">
        <f>'Plano de Contas'!B50</f>
        <v>Distribuição de Lucros</v>
      </c>
      <c r="C50" s="11">
        <f>IF(C66&gt;0,-40%*C66,0)</f>
        <v>0</v>
      </c>
      <c r="D50" s="11">
        <f>IF(D66&gt;0,-40%*D66,0)</f>
        <v>-4473.6983600000003</v>
      </c>
      <c r="E50" s="11">
        <f t="shared" ref="E50:O50" si="10">IF(E66&gt;0,-40%*E66,0)</f>
        <v>-4589.3832800000009</v>
      </c>
      <c r="F50" s="11">
        <f t="shared" si="10"/>
        <v>-4981.6382400000002</v>
      </c>
      <c r="G50" s="11">
        <f t="shared" si="10"/>
        <v>-4851.8649599999999</v>
      </c>
      <c r="H50" s="11">
        <f t="shared" si="10"/>
        <v>-4912.3116399999999</v>
      </c>
      <c r="I50" s="11">
        <f t="shared" si="10"/>
        <v>-4878.3542799999996</v>
      </c>
      <c r="J50" s="11">
        <f t="shared" si="10"/>
        <v>-4990.3760400000001</v>
      </c>
      <c r="K50" s="11">
        <f t="shared" si="10"/>
        <v>-5023.2187599999997</v>
      </c>
      <c r="L50" s="11">
        <f t="shared" si="10"/>
        <v>-4849.7304800000002</v>
      </c>
      <c r="M50" s="11">
        <f t="shared" si="10"/>
        <v>-4640.5892800000001</v>
      </c>
      <c r="N50" s="11">
        <f t="shared" si="10"/>
        <v>-4547.06808</v>
      </c>
      <c r="O50" s="11">
        <f t="shared" si="10"/>
        <v>-142.38744000000005</v>
      </c>
      <c r="P50" s="11">
        <f t="shared" si="1"/>
        <v>-52880.620839999996</v>
      </c>
      <c r="Q50" s="11">
        <f t="shared" si="2"/>
        <v>-4067.7400646153842</v>
      </c>
    </row>
    <row r="51" spans="2:17" outlineLevel="1" x14ac:dyDescent="0.25">
      <c r="B51" s="8" t="str">
        <f>'Plano de Contas'!B51</f>
        <v>Pgto. empréstimo (principal)</v>
      </c>
      <c r="C51" s="11"/>
      <c r="D51" s="11">
        <f>IF(C48=0,0,-C48)</f>
        <v>-939.60000000000014</v>
      </c>
      <c r="E51" s="11">
        <f t="shared" ref="E51:O51" si="11">IF(D48=0,0,-D48)</f>
        <v>0</v>
      </c>
      <c r="F51" s="11">
        <f t="shared" si="11"/>
        <v>0</v>
      </c>
      <c r="G51" s="11">
        <f t="shared" si="11"/>
        <v>0</v>
      </c>
      <c r="H51" s="11">
        <f t="shared" si="11"/>
        <v>0</v>
      </c>
      <c r="I51" s="11">
        <f t="shared" si="11"/>
        <v>0</v>
      </c>
      <c r="J51" s="11">
        <f t="shared" si="11"/>
        <v>0</v>
      </c>
      <c r="K51" s="11">
        <f t="shared" si="11"/>
        <v>0</v>
      </c>
      <c r="L51" s="11">
        <f t="shared" si="11"/>
        <v>0</v>
      </c>
      <c r="M51" s="11">
        <f t="shared" si="11"/>
        <v>0</v>
      </c>
      <c r="N51" s="11">
        <f t="shared" si="11"/>
        <v>0</v>
      </c>
      <c r="O51" s="11">
        <f t="shared" si="11"/>
        <v>0</v>
      </c>
      <c r="P51" s="11">
        <f t="shared" si="1"/>
        <v>-939.60000000000014</v>
      </c>
      <c r="Q51" s="11">
        <f t="shared" si="2"/>
        <v>-78.300000000000011</v>
      </c>
    </row>
    <row r="52" spans="2:17" outlineLevel="1" x14ac:dyDescent="0.25">
      <c r="B52" s="8" t="str">
        <f>'Plano de Contas'!B52</f>
        <v>Pgto. empréstimo (juros)</v>
      </c>
      <c r="C52" s="11"/>
      <c r="D52" s="11">
        <f>IF(D51=0,0,2%*D51)</f>
        <v>-18.792000000000002</v>
      </c>
      <c r="E52" s="11">
        <f t="shared" ref="E52:O52" si="12">IF(E51=0,0,2%*E51)</f>
        <v>0</v>
      </c>
      <c r="F52" s="11">
        <f t="shared" si="12"/>
        <v>0</v>
      </c>
      <c r="G52" s="11">
        <f t="shared" si="12"/>
        <v>0</v>
      </c>
      <c r="H52" s="11">
        <f t="shared" si="12"/>
        <v>0</v>
      </c>
      <c r="I52" s="11">
        <f t="shared" si="12"/>
        <v>0</v>
      </c>
      <c r="J52" s="11">
        <f t="shared" si="12"/>
        <v>0</v>
      </c>
      <c r="K52" s="11">
        <f t="shared" si="12"/>
        <v>0</v>
      </c>
      <c r="L52" s="11">
        <f t="shared" si="12"/>
        <v>0</v>
      </c>
      <c r="M52" s="11">
        <f t="shared" si="12"/>
        <v>0</v>
      </c>
      <c r="N52" s="11">
        <f t="shared" si="12"/>
        <v>0</v>
      </c>
      <c r="O52" s="11">
        <f t="shared" si="12"/>
        <v>0</v>
      </c>
      <c r="P52" s="11">
        <f t="shared" si="1"/>
        <v>-18.792000000000002</v>
      </c>
      <c r="Q52" s="11">
        <f t="shared" si="2"/>
        <v>-1.5660000000000001</v>
      </c>
    </row>
    <row r="54" spans="2:17" x14ac:dyDescent="0.25">
      <c r="B54" s="21" t="s">
        <v>134</v>
      </c>
      <c r="C54" s="26">
        <f>Premissas!C5</f>
        <v>0</v>
      </c>
      <c r="D54" s="26">
        <f>C62</f>
        <v>0</v>
      </c>
      <c r="E54" s="26">
        <f t="shared" ref="E54:O54" si="13">D62</f>
        <v>5752.1555399999988</v>
      </c>
      <c r="F54" s="26">
        <f t="shared" si="13"/>
        <v>12636.230459999999</v>
      </c>
      <c r="G54" s="26">
        <f t="shared" si="13"/>
        <v>20108.687819999999</v>
      </c>
      <c r="H54" s="26">
        <f t="shared" si="13"/>
        <v>27386.485260000001</v>
      </c>
      <c r="I54" s="26">
        <f t="shared" si="13"/>
        <v>34754.952720000001</v>
      </c>
      <c r="J54" s="26">
        <f t="shared" si="13"/>
        <v>42072.48414</v>
      </c>
      <c r="K54" s="26">
        <f t="shared" si="13"/>
        <v>49558.048199999997</v>
      </c>
      <c r="L54" s="26">
        <f t="shared" si="13"/>
        <v>57092.876339999988</v>
      </c>
      <c r="M54" s="26">
        <f t="shared" si="13"/>
        <v>64367.472059999986</v>
      </c>
      <c r="N54" s="26">
        <f t="shared" si="13"/>
        <v>71328.355979999978</v>
      </c>
      <c r="O54" s="26">
        <f t="shared" si="13"/>
        <v>78148.958099999974</v>
      </c>
      <c r="P54" s="26">
        <f>SUM(C54:O54)</f>
        <v>463206.70661999995</v>
      </c>
      <c r="Q54" s="26">
        <f>IF(P54=0,0,AVERAGE(C54:O54))</f>
        <v>35631.28512461538</v>
      </c>
    </row>
    <row r="55" spans="2:17" x14ac:dyDescent="0.25">
      <c r="B55" s="22" t="str">
        <f>B5</f>
        <v>RECEITAS OPERACIONAIS</v>
      </c>
      <c r="C55" s="23">
        <f t="shared" ref="C55:O55" si="14">C5</f>
        <v>11684.25</v>
      </c>
      <c r="D55" s="23">
        <f t="shared" si="14"/>
        <v>28489.5</v>
      </c>
      <c r="E55" s="23">
        <f t="shared" si="14"/>
        <v>28794.75</v>
      </c>
      <c r="F55" s="23">
        <f t="shared" si="14"/>
        <v>29874.5</v>
      </c>
      <c r="G55" s="23">
        <f t="shared" si="14"/>
        <v>29668.75</v>
      </c>
      <c r="H55" s="23">
        <f t="shared" si="14"/>
        <v>29830.25</v>
      </c>
      <c r="I55" s="23">
        <f t="shared" si="14"/>
        <v>29662</v>
      </c>
      <c r="J55" s="23">
        <f t="shared" si="14"/>
        <v>30197.75</v>
      </c>
      <c r="K55" s="23">
        <f t="shared" si="14"/>
        <v>30108.5</v>
      </c>
      <c r="L55" s="23">
        <f t="shared" si="14"/>
        <v>29673.5</v>
      </c>
      <c r="M55" s="23">
        <f t="shared" si="14"/>
        <v>28911.5</v>
      </c>
      <c r="N55" s="23">
        <f t="shared" si="14"/>
        <v>28707.25</v>
      </c>
      <c r="O55" s="23">
        <f t="shared" si="14"/>
        <v>16160.5</v>
      </c>
      <c r="P55" s="23">
        <f t="shared" ref="P55:P61" si="15">SUM(C55:O55)</f>
        <v>351763</v>
      </c>
      <c r="Q55" s="23">
        <f t="shared" ref="Q55:Q61" si="16">IF(P55=0,0,AVERAGE(C55:O55))</f>
        <v>27058.692307692309</v>
      </c>
    </row>
    <row r="56" spans="2:17" x14ac:dyDescent="0.25">
      <c r="B56" s="24" t="str">
        <f>B11</f>
        <v>DESPESAS FIXAS</v>
      </c>
      <c r="C56" s="25">
        <f t="shared" ref="C56:O56" si="17">C11</f>
        <v>-11190</v>
      </c>
      <c r="D56" s="25">
        <f t="shared" si="17"/>
        <v>-11190</v>
      </c>
      <c r="E56" s="25">
        <f t="shared" si="17"/>
        <v>-11190</v>
      </c>
      <c r="F56" s="25">
        <f t="shared" si="17"/>
        <v>-11190</v>
      </c>
      <c r="G56" s="25">
        <f t="shared" si="17"/>
        <v>-11190</v>
      </c>
      <c r="H56" s="25">
        <f t="shared" si="17"/>
        <v>-11190</v>
      </c>
      <c r="I56" s="25">
        <f t="shared" si="17"/>
        <v>-11190</v>
      </c>
      <c r="J56" s="25">
        <f t="shared" si="17"/>
        <v>-11190</v>
      </c>
      <c r="K56" s="25">
        <f t="shared" si="17"/>
        <v>-11190</v>
      </c>
      <c r="L56" s="25">
        <f t="shared" si="17"/>
        <v>-11190</v>
      </c>
      <c r="M56" s="25">
        <f t="shared" si="17"/>
        <v>-11190</v>
      </c>
      <c r="N56" s="25">
        <f t="shared" si="17"/>
        <v>-11190</v>
      </c>
      <c r="O56" s="25">
        <f t="shared" si="17"/>
        <v>-11190</v>
      </c>
      <c r="P56" s="25">
        <f t="shared" si="15"/>
        <v>-145470</v>
      </c>
      <c r="Q56" s="25">
        <f t="shared" si="16"/>
        <v>-11190</v>
      </c>
    </row>
    <row r="57" spans="2:17" x14ac:dyDescent="0.25">
      <c r="B57" s="24" t="str">
        <f>B33</f>
        <v>DESPESAS VARIÁVEIS</v>
      </c>
      <c r="C57" s="25">
        <f t="shared" ref="C57:O57" si="18">C33</f>
        <v>-1433.8500000000001</v>
      </c>
      <c r="D57" s="25">
        <f t="shared" si="18"/>
        <v>-6115.2541000000001</v>
      </c>
      <c r="E57" s="25">
        <f t="shared" si="18"/>
        <v>-6131.2918</v>
      </c>
      <c r="F57" s="25">
        <f t="shared" si="18"/>
        <v>-6230.4043999999994</v>
      </c>
      <c r="G57" s="25">
        <f t="shared" si="18"/>
        <v>-6349.0876000000007</v>
      </c>
      <c r="H57" s="25">
        <f t="shared" si="18"/>
        <v>-6359.4709000000003</v>
      </c>
      <c r="I57" s="25">
        <f t="shared" si="18"/>
        <v>-6276.1143000000002</v>
      </c>
      <c r="J57" s="25">
        <f t="shared" si="18"/>
        <v>-6531.8099000000002</v>
      </c>
      <c r="K57" s="25">
        <f t="shared" si="18"/>
        <v>-6360.4531000000006</v>
      </c>
      <c r="L57" s="25">
        <f t="shared" si="18"/>
        <v>-6359.1738000000005</v>
      </c>
      <c r="M57" s="25">
        <f t="shared" si="18"/>
        <v>-6120.0268000000005</v>
      </c>
      <c r="N57" s="25">
        <f t="shared" si="18"/>
        <v>-6149.5798000000004</v>
      </c>
      <c r="O57" s="25">
        <f t="shared" si="18"/>
        <v>-4614.5313999999998</v>
      </c>
      <c r="P57" s="25">
        <f t="shared" si="15"/>
        <v>-75031.047900000005</v>
      </c>
      <c r="Q57" s="25">
        <f t="shared" si="16"/>
        <v>-5771.61906923077</v>
      </c>
    </row>
    <row r="58" spans="2:17" x14ac:dyDescent="0.25">
      <c r="B58" s="22" t="str">
        <f>B39</f>
        <v>ENTRADA FL. INVESTIMENTO</v>
      </c>
      <c r="C58" s="23">
        <f t="shared" ref="C58:O58" si="19">C39</f>
        <v>0</v>
      </c>
      <c r="D58" s="23">
        <f t="shared" si="19"/>
        <v>0</v>
      </c>
      <c r="E58" s="23">
        <f t="shared" si="19"/>
        <v>0</v>
      </c>
      <c r="F58" s="23">
        <f t="shared" si="19"/>
        <v>0</v>
      </c>
      <c r="G58" s="23">
        <f t="shared" si="19"/>
        <v>0</v>
      </c>
      <c r="H58" s="23">
        <f t="shared" si="19"/>
        <v>0</v>
      </c>
      <c r="I58" s="23">
        <f t="shared" si="19"/>
        <v>0</v>
      </c>
      <c r="J58" s="23">
        <f t="shared" si="19"/>
        <v>0</v>
      </c>
      <c r="K58" s="23">
        <f t="shared" si="19"/>
        <v>0</v>
      </c>
      <c r="L58" s="23">
        <f t="shared" si="19"/>
        <v>0</v>
      </c>
      <c r="M58" s="23">
        <f t="shared" si="19"/>
        <v>0</v>
      </c>
      <c r="N58" s="23">
        <f t="shared" si="19"/>
        <v>0</v>
      </c>
      <c r="O58" s="23">
        <f t="shared" si="19"/>
        <v>0</v>
      </c>
      <c r="P58" s="23">
        <f t="shared" si="15"/>
        <v>0</v>
      </c>
      <c r="Q58" s="23">
        <f t="shared" si="16"/>
        <v>0</v>
      </c>
    </row>
    <row r="59" spans="2:17" x14ac:dyDescent="0.25">
      <c r="B59" s="24" t="str">
        <f>B42</f>
        <v>SAÍDA FL. INVESTIMENTO</v>
      </c>
      <c r="C59" s="25">
        <f t="shared" ref="C59:O59" si="20">C42</f>
        <v>0</v>
      </c>
      <c r="D59" s="25">
        <f t="shared" si="20"/>
        <v>0</v>
      </c>
      <c r="E59" s="25">
        <f t="shared" si="20"/>
        <v>0</v>
      </c>
      <c r="F59" s="25">
        <f t="shared" si="20"/>
        <v>0</v>
      </c>
      <c r="G59" s="25">
        <f t="shared" si="20"/>
        <v>0</v>
      </c>
      <c r="H59" s="25">
        <f t="shared" si="20"/>
        <v>0</v>
      </c>
      <c r="I59" s="25">
        <f t="shared" si="20"/>
        <v>0</v>
      </c>
      <c r="J59" s="25">
        <f t="shared" si="20"/>
        <v>0</v>
      </c>
      <c r="K59" s="25">
        <f t="shared" si="20"/>
        <v>0</v>
      </c>
      <c r="L59" s="25">
        <f t="shared" si="20"/>
        <v>0</v>
      </c>
      <c r="M59" s="25">
        <f t="shared" si="20"/>
        <v>0</v>
      </c>
      <c r="N59" s="25">
        <f t="shared" si="20"/>
        <v>0</v>
      </c>
      <c r="O59" s="25">
        <f t="shared" si="20"/>
        <v>0</v>
      </c>
      <c r="P59" s="25">
        <f t="shared" si="15"/>
        <v>0</v>
      </c>
      <c r="Q59" s="25">
        <f t="shared" si="16"/>
        <v>0</v>
      </c>
    </row>
    <row r="60" spans="2:17" x14ac:dyDescent="0.25">
      <c r="B60" s="22" t="str">
        <f>B46</f>
        <v>ENTRADA FL. FINANCIAMENTO</v>
      </c>
      <c r="C60" s="23">
        <f t="shared" ref="C60:O60" si="21">C46</f>
        <v>939.60000000000014</v>
      </c>
      <c r="D60" s="23">
        <f t="shared" si="21"/>
        <v>0</v>
      </c>
      <c r="E60" s="23">
        <f t="shared" si="21"/>
        <v>0</v>
      </c>
      <c r="F60" s="23">
        <f t="shared" si="21"/>
        <v>0</v>
      </c>
      <c r="G60" s="23">
        <f t="shared" si="21"/>
        <v>0</v>
      </c>
      <c r="H60" s="23">
        <f t="shared" si="21"/>
        <v>0</v>
      </c>
      <c r="I60" s="23">
        <f t="shared" si="21"/>
        <v>0</v>
      </c>
      <c r="J60" s="23">
        <f t="shared" si="21"/>
        <v>0</v>
      </c>
      <c r="K60" s="23">
        <f t="shared" si="21"/>
        <v>0</v>
      </c>
      <c r="L60" s="23">
        <f t="shared" si="21"/>
        <v>0</v>
      </c>
      <c r="M60" s="23">
        <f t="shared" si="21"/>
        <v>0</v>
      </c>
      <c r="N60" s="23">
        <f t="shared" si="21"/>
        <v>0</v>
      </c>
      <c r="O60" s="23">
        <f t="shared" si="21"/>
        <v>0</v>
      </c>
      <c r="P60" s="23">
        <f t="shared" si="15"/>
        <v>939.60000000000014</v>
      </c>
      <c r="Q60" s="23">
        <f t="shared" si="16"/>
        <v>72.276923076923083</v>
      </c>
    </row>
    <row r="61" spans="2:17" x14ac:dyDescent="0.25">
      <c r="B61" s="24" t="str">
        <f>B49</f>
        <v>SAÍDA FL. FINANCIAMENTO</v>
      </c>
      <c r="C61" s="25">
        <f t="shared" ref="C61:O61" si="22">C49</f>
        <v>0</v>
      </c>
      <c r="D61" s="25">
        <f t="shared" si="22"/>
        <v>-5432.0903600000011</v>
      </c>
      <c r="E61" s="25">
        <f t="shared" si="22"/>
        <v>-4589.3832800000009</v>
      </c>
      <c r="F61" s="25">
        <f t="shared" si="22"/>
        <v>-4981.6382400000002</v>
      </c>
      <c r="G61" s="25">
        <f t="shared" si="22"/>
        <v>-4851.8649599999999</v>
      </c>
      <c r="H61" s="25">
        <f t="shared" si="22"/>
        <v>-4912.3116399999999</v>
      </c>
      <c r="I61" s="25">
        <f t="shared" si="22"/>
        <v>-4878.3542799999996</v>
      </c>
      <c r="J61" s="25">
        <f t="shared" si="22"/>
        <v>-4990.3760400000001</v>
      </c>
      <c r="K61" s="25">
        <f t="shared" si="22"/>
        <v>-5023.2187599999997</v>
      </c>
      <c r="L61" s="25">
        <f t="shared" si="22"/>
        <v>-4849.7304800000002</v>
      </c>
      <c r="M61" s="25">
        <f t="shared" si="22"/>
        <v>-4640.5892800000001</v>
      </c>
      <c r="N61" s="25">
        <f t="shared" si="22"/>
        <v>-4547.06808</v>
      </c>
      <c r="O61" s="25">
        <f t="shared" si="22"/>
        <v>-142.38744000000005</v>
      </c>
      <c r="P61" s="25">
        <f t="shared" si="15"/>
        <v>-53839.012840000003</v>
      </c>
      <c r="Q61" s="25">
        <f t="shared" si="16"/>
        <v>-4141.4625261538467</v>
      </c>
    </row>
    <row r="62" spans="2:17" x14ac:dyDescent="0.25">
      <c r="B62" s="21" t="s">
        <v>135</v>
      </c>
      <c r="C62" s="26">
        <f>SUM(C54:C61)</f>
        <v>0</v>
      </c>
      <c r="D62" s="26">
        <f t="shared" ref="D62:O62" si="23">SUM(D54:D61)</f>
        <v>5752.1555399999988</v>
      </c>
      <c r="E62" s="26">
        <f t="shared" si="23"/>
        <v>12636.230459999999</v>
      </c>
      <c r="F62" s="26">
        <f t="shared" si="23"/>
        <v>20108.687819999999</v>
      </c>
      <c r="G62" s="26">
        <f t="shared" si="23"/>
        <v>27386.485260000001</v>
      </c>
      <c r="H62" s="26">
        <f t="shared" si="23"/>
        <v>34754.952720000001</v>
      </c>
      <c r="I62" s="26">
        <f t="shared" si="23"/>
        <v>42072.48414</v>
      </c>
      <c r="J62" s="26">
        <f t="shared" si="23"/>
        <v>49558.048199999997</v>
      </c>
      <c r="K62" s="26">
        <f t="shared" si="23"/>
        <v>57092.876339999988</v>
      </c>
      <c r="L62" s="26">
        <f t="shared" si="23"/>
        <v>64367.472059999986</v>
      </c>
      <c r="M62" s="26">
        <f t="shared" si="23"/>
        <v>71328.355979999978</v>
      </c>
      <c r="N62" s="26">
        <f t="shared" si="23"/>
        <v>78148.958099999974</v>
      </c>
      <c r="O62" s="26">
        <f t="shared" si="23"/>
        <v>78362.539259999976</v>
      </c>
      <c r="P62" s="26">
        <f>SUM(C62:O62)</f>
        <v>541569.24587999994</v>
      </c>
      <c r="Q62" s="26">
        <f>IF(P62=0,0,AVERAGE(C62:O62))</f>
        <v>41659.172759999994</v>
      </c>
    </row>
    <row r="64" spans="2:17" x14ac:dyDescent="0.25">
      <c r="B64" s="8" t="s">
        <v>137</v>
      </c>
      <c r="C64" s="11">
        <f>SUM(C55:C57)</f>
        <v>-939.60000000000014</v>
      </c>
      <c r="D64" s="11">
        <f t="shared" ref="D64:Q64" si="24">SUM(D55:D57)</f>
        <v>11184.2459</v>
      </c>
      <c r="E64" s="11">
        <f t="shared" si="24"/>
        <v>11473.458200000001</v>
      </c>
      <c r="F64" s="11">
        <f t="shared" si="24"/>
        <v>12454.095600000001</v>
      </c>
      <c r="G64" s="11">
        <f t="shared" si="24"/>
        <v>12129.662399999999</v>
      </c>
      <c r="H64" s="11">
        <f t="shared" si="24"/>
        <v>12280.7791</v>
      </c>
      <c r="I64" s="11">
        <f t="shared" si="24"/>
        <v>12195.885699999999</v>
      </c>
      <c r="J64" s="11">
        <f t="shared" si="24"/>
        <v>12475.9401</v>
      </c>
      <c r="K64" s="11">
        <f t="shared" si="24"/>
        <v>12558.046899999999</v>
      </c>
      <c r="L64" s="11">
        <f t="shared" si="24"/>
        <v>12124.3262</v>
      </c>
      <c r="M64" s="11">
        <f t="shared" si="24"/>
        <v>11601.4732</v>
      </c>
      <c r="N64" s="11">
        <f t="shared" si="24"/>
        <v>11367.6702</v>
      </c>
      <c r="O64" s="11">
        <f t="shared" si="24"/>
        <v>355.96860000000015</v>
      </c>
      <c r="P64" s="11">
        <f t="shared" si="24"/>
        <v>131261.95209999999</v>
      </c>
      <c r="Q64" s="11">
        <f t="shared" si="24"/>
        <v>10097.073238461538</v>
      </c>
    </row>
    <row r="65" spans="2:17" x14ac:dyDescent="0.25">
      <c r="B65" s="8" t="s">
        <v>138</v>
      </c>
      <c r="C65" s="11">
        <f>SUM(C58:C59)</f>
        <v>0</v>
      </c>
      <c r="D65" s="11">
        <f t="shared" ref="D65:Q65" si="25">SUM(D58:D59)</f>
        <v>0</v>
      </c>
      <c r="E65" s="11">
        <f t="shared" si="25"/>
        <v>0</v>
      </c>
      <c r="F65" s="11">
        <f t="shared" si="25"/>
        <v>0</v>
      </c>
      <c r="G65" s="11">
        <f t="shared" si="25"/>
        <v>0</v>
      </c>
      <c r="H65" s="11">
        <f t="shared" si="25"/>
        <v>0</v>
      </c>
      <c r="I65" s="11">
        <f t="shared" si="25"/>
        <v>0</v>
      </c>
      <c r="J65" s="11">
        <f t="shared" si="25"/>
        <v>0</v>
      </c>
      <c r="K65" s="11">
        <f t="shared" si="25"/>
        <v>0</v>
      </c>
      <c r="L65" s="11">
        <f t="shared" si="25"/>
        <v>0</v>
      </c>
      <c r="M65" s="11">
        <f t="shared" si="25"/>
        <v>0</v>
      </c>
      <c r="N65" s="11">
        <f t="shared" si="25"/>
        <v>0</v>
      </c>
      <c r="O65" s="11">
        <f t="shared" si="25"/>
        <v>0</v>
      </c>
      <c r="P65" s="11">
        <f t="shared" si="25"/>
        <v>0</v>
      </c>
      <c r="Q65" s="11">
        <f t="shared" si="25"/>
        <v>0</v>
      </c>
    </row>
    <row r="66" spans="2:17" x14ac:dyDescent="0.25">
      <c r="B66" s="8" t="s">
        <v>139</v>
      </c>
      <c r="C66" s="11">
        <f>SUM(C64:C65)</f>
        <v>-939.60000000000014</v>
      </c>
      <c r="D66" s="11">
        <f t="shared" ref="D66:Q66" si="26">SUM(D64:D65)</f>
        <v>11184.2459</v>
      </c>
      <c r="E66" s="11">
        <f t="shared" si="26"/>
        <v>11473.458200000001</v>
      </c>
      <c r="F66" s="11">
        <f t="shared" si="26"/>
        <v>12454.095600000001</v>
      </c>
      <c r="G66" s="11">
        <f t="shared" si="26"/>
        <v>12129.662399999999</v>
      </c>
      <c r="H66" s="11">
        <f t="shared" si="26"/>
        <v>12280.7791</v>
      </c>
      <c r="I66" s="11">
        <f t="shared" si="26"/>
        <v>12195.885699999999</v>
      </c>
      <c r="J66" s="11">
        <f t="shared" si="26"/>
        <v>12475.9401</v>
      </c>
      <c r="K66" s="11">
        <f t="shared" si="26"/>
        <v>12558.046899999999</v>
      </c>
      <c r="L66" s="11">
        <f t="shared" si="26"/>
        <v>12124.3262</v>
      </c>
      <c r="M66" s="11">
        <f t="shared" si="26"/>
        <v>11601.4732</v>
      </c>
      <c r="N66" s="11">
        <f t="shared" si="26"/>
        <v>11367.6702</v>
      </c>
      <c r="O66" s="11">
        <f t="shared" si="26"/>
        <v>355.96860000000015</v>
      </c>
      <c r="P66" s="11">
        <f t="shared" si="26"/>
        <v>131261.95209999999</v>
      </c>
      <c r="Q66" s="11">
        <f t="shared" si="26"/>
        <v>10097.073238461538</v>
      </c>
    </row>
    <row r="67" spans="2:17" x14ac:dyDescent="0.25">
      <c r="B67" s="8" t="s">
        <v>140</v>
      </c>
      <c r="C67" s="11">
        <f>SUM(C60:C61)</f>
        <v>939.60000000000014</v>
      </c>
      <c r="D67" s="11">
        <f t="shared" ref="D67:Q67" si="27">SUM(D60:D61)</f>
        <v>-5432.0903600000011</v>
      </c>
      <c r="E67" s="11">
        <f t="shared" si="27"/>
        <v>-4589.3832800000009</v>
      </c>
      <c r="F67" s="11">
        <f t="shared" si="27"/>
        <v>-4981.6382400000002</v>
      </c>
      <c r="G67" s="11">
        <f t="shared" si="27"/>
        <v>-4851.8649599999999</v>
      </c>
      <c r="H67" s="11">
        <f t="shared" si="27"/>
        <v>-4912.3116399999999</v>
      </c>
      <c r="I67" s="11">
        <f t="shared" si="27"/>
        <v>-4878.3542799999996</v>
      </c>
      <c r="J67" s="11">
        <f t="shared" si="27"/>
        <v>-4990.3760400000001</v>
      </c>
      <c r="K67" s="11">
        <f t="shared" si="27"/>
        <v>-5023.2187599999997</v>
      </c>
      <c r="L67" s="11">
        <f t="shared" si="27"/>
        <v>-4849.7304800000002</v>
      </c>
      <c r="M67" s="11">
        <f t="shared" si="27"/>
        <v>-4640.5892800000001</v>
      </c>
      <c r="N67" s="11">
        <f t="shared" si="27"/>
        <v>-4547.06808</v>
      </c>
      <c r="O67" s="11">
        <f t="shared" si="27"/>
        <v>-142.38744000000005</v>
      </c>
      <c r="P67" s="11">
        <f t="shared" si="27"/>
        <v>-52899.412840000005</v>
      </c>
      <c r="Q67" s="11">
        <f t="shared" si="27"/>
        <v>-4069.1856030769236</v>
      </c>
    </row>
    <row r="68" spans="2:17" x14ac:dyDescent="0.25">
      <c r="B68" s="8" t="s">
        <v>141</v>
      </c>
      <c r="C68" s="27">
        <f>-C56/C55</f>
        <v>0.95769946723152966</v>
      </c>
      <c r="D68" s="27">
        <f t="shared" ref="D68:O68" si="28">-D56/D55</f>
        <v>0.39277628600010528</v>
      </c>
      <c r="E68" s="27">
        <f t="shared" si="28"/>
        <v>0.38861250748834425</v>
      </c>
      <c r="F68" s="27">
        <f t="shared" si="28"/>
        <v>0.374566938358801</v>
      </c>
      <c r="G68" s="27">
        <f t="shared" si="28"/>
        <v>0.37716452496313463</v>
      </c>
      <c r="H68" s="27">
        <f t="shared" si="28"/>
        <v>0.37512256853361942</v>
      </c>
      <c r="I68" s="27">
        <f t="shared" si="28"/>
        <v>0.37725035398826784</v>
      </c>
      <c r="J68" s="27">
        <f t="shared" si="28"/>
        <v>0.37055740907849094</v>
      </c>
      <c r="K68" s="27">
        <f t="shared" si="28"/>
        <v>0.37165584469501967</v>
      </c>
      <c r="L68" s="27">
        <f t="shared" si="28"/>
        <v>0.37710415016765803</v>
      </c>
      <c r="M68" s="27">
        <f t="shared" si="28"/>
        <v>0.38704321809660513</v>
      </c>
      <c r="N68" s="27">
        <f t="shared" si="28"/>
        <v>0.38979700249936861</v>
      </c>
      <c r="O68" s="27">
        <f t="shared" si="28"/>
        <v>0.69242907088270789</v>
      </c>
      <c r="P68" s="27"/>
      <c r="Q68" s="27"/>
    </row>
    <row r="69" spans="2:17" x14ac:dyDescent="0.25">
      <c r="B69" s="8" t="s">
        <v>142</v>
      </c>
      <c r="C69" s="27">
        <f>-C57/C55</f>
        <v>0.1227164773091983</v>
      </c>
      <c r="D69" s="27">
        <f t="shared" ref="D69:O69" si="29">-D57/D55</f>
        <v>0.21464940065638219</v>
      </c>
      <c r="E69" s="27">
        <f t="shared" si="29"/>
        <v>0.2129308919160611</v>
      </c>
      <c r="F69" s="27">
        <f t="shared" si="29"/>
        <v>0.20855259167517445</v>
      </c>
      <c r="G69" s="27">
        <f t="shared" si="29"/>
        <v>0.21399916073309461</v>
      </c>
      <c r="H69" s="27">
        <f t="shared" si="29"/>
        <v>0.2131886558107961</v>
      </c>
      <c r="I69" s="27">
        <f t="shared" si="29"/>
        <v>0.21158769806486413</v>
      </c>
      <c r="J69" s="27">
        <f t="shared" si="29"/>
        <v>0.21630121118295237</v>
      </c>
      <c r="K69" s="27">
        <f t="shared" si="29"/>
        <v>0.21125107859906672</v>
      </c>
      <c r="L69" s="27">
        <f t="shared" si="29"/>
        <v>0.21430481068967261</v>
      </c>
      <c r="M69" s="27">
        <f t="shared" si="29"/>
        <v>0.21168140013489445</v>
      </c>
      <c r="N69" s="27">
        <f t="shared" si="29"/>
        <v>0.21421695913053324</v>
      </c>
      <c r="O69" s="27">
        <f t="shared" si="29"/>
        <v>0.28554385074719224</v>
      </c>
      <c r="P69" s="27"/>
      <c r="Q69" s="27"/>
    </row>
    <row r="70" spans="2:17" x14ac:dyDescent="0.25">
      <c r="B70" s="8" t="s">
        <v>143</v>
      </c>
      <c r="C70" s="28">
        <f>1-C69</f>
        <v>0.87728352269080168</v>
      </c>
      <c r="D70" s="28">
        <f t="shared" ref="D70:O71" si="30">1-D69</f>
        <v>0.78535059934361784</v>
      </c>
      <c r="E70" s="28">
        <f t="shared" si="30"/>
        <v>0.78706910808393893</v>
      </c>
      <c r="F70" s="28">
        <f t="shared" si="30"/>
        <v>0.79144740832482552</v>
      </c>
      <c r="G70" s="28">
        <f t="shared" si="30"/>
        <v>0.78600083926690534</v>
      </c>
      <c r="H70" s="28">
        <f t="shared" si="30"/>
        <v>0.78681134418920395</v>
      </c>
      <c r="I70" s="28">
        <f t="shared" si="30"/>
        <v>0.7884123019351359</v>
      </c>
      <c r="J70" s="28">
        <f t="shared" si="30"/>
        <v>0.78369878881704769</v>
      </c>
      <c r="K70" s="28">
        <f t="shared" si="30"/>
        <v>0.78874892140093333</v>
      </c>
      <c r="L70" s="28">
        <f t="shared" si="30"/>
        <v>0.78569518931032745</v>
      </c>
      <c r="M70" s="28">
        <f t="shared" si="30"/>
        <v>0.78831859986510555</v>
      </c>
      <c r="N70" s="28">
        <f t="shared" si="30"/>
        <v>0.78578304086946682</v>
      </c>
      <c r="O70" s="28">
        <f t="shared" si="30"/>
        <v>0.71445614925280776</v>
      </c>
      <c r="P70" s="28"/>
      <c r="Q70" s="28"/>
    </row>
    <row r="71" spans="2:17" x14ac:dyDescent="0.25">
      <c r="B71" s="8" t="s">
        <v>144</v>
      </c>
      <c r="C71" s="28">
        <f>1-C70</f>
        <v>0.12271647730919832</v>
      </c>
      <c r="D71" s="28">
        <f t="shared" si="30"/>
        <v>0.21464940065638216</v>
      </c>
      <c r="E71" s="28">
        <f t="shared" si="30"/>
        <v>0.21293089191606107</v>
      </c>
      <c r="F71" s="28">
        <f t="shared" si="30"/>
        <v>0.20855259167517448</v>
      </c>
      <c r="G71" s="28">
        <f t="shared" si="30"/>
        <v>0.21399916073309466</v>
      </c>
      <c r="H71" s="28">
        <f t="shared" si="30"/>
        <v>0.21318865581079605</v>
      </c>
      <c r="I71" s="28">
        <f t="shared" si="30"/>
        <v>0.2115876980648641</v>
      </c>
      <c r="J71" s="28">
        <f t="shared" si="30"/>
        <v>0.21630121118295231</v>
      </c>
      <c r="K71" s="28">
        <f t="shared" si="30"/>
        <v>0.21125107859906667</v>
      </c>
      <c r="L71" s="28">
        <f t="shared" si="30"/>
        <v>0.21430481068967255</v>
      </c>
      <c r="M71" s="28">
        <f t="shared" si="30"/>
        <v>0.21168140013489445</v>
      </c>
      <c r="N71" s="28">
        <f t="shared" si="30"/>
        <v>0.21421695913053318</v>
      </c>
      <c r="O71" s="28">
        <f t="shared" si="30"/>
        <v>0.28554385074719224</v>
      </c>
      <c r="P71" s="28"/>
      <c r="Q71" s="28"/>
    </row>
    <row r="72" spans="2:17" x14ac:dyDescent="0.25">
      <c r="B72" s="8" t="s">
        <v>145</v>
      </c>
      <c r="C72" s="11">
        <f>-C56/C70</f>
        <v>12755.28345235308</v>
      </c>
      <c r="D72" s="11">
        <f t="shared" ref="D72:O72" si="31">-D56/D70</f>
        <v>14248.413395689015</v>
      </c>
      <c r="E72" s="11">
        <f t="shared" si="31"/>
        <v>14217.303010711754</v>
      </c>
      <c r="F72" s="11">
        <f t="shared" si="31"/>
        <v>14138.6526537306</v>
      </c>
      <c r="G72" s="11">
        <f t="shared" si="31"/>
        <v>14236.626019937579</v>
      </c>
      <c r="H72" s="11">
        <f t="shared" si="31"/>
        <v>14221.960680461603</v>
      </c>
      <c r="I72" s="11">
        <f t="shared" si="31"/>
        <v>14193.081427743402</v>
      </c>
      <c r="J72" s="11">
        <f t="shared" si="31"/>
        <v>14278.444932766477</v>
      </c>
      <c r="K72" s="11">
        <f t="shared" si="31"/>
        <v>14187.024154815863</v>
      </c>
      <c r="L72" s="11">
        <f t="shared" si="31"/>
        <v>14242.164330702381</v>
      </c>
      <c r="M72" s="11">
        <f t="shared" si="31"/>
        <v>14194.768462795113</v>
      </c>
      <c r="N72" s="11">
        <f t="shared" si="31"/>
        <v>14240.572038330447</v>
      </c>
      <c r="O72" s="11">
        <f t="shared" si="31"/>
        <v>15662.26284384664</v>
      </c>
      <c r="P72" s="11"/>
      <c r="Q72" s="11"/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AA5B-8362-4505-90AE-AB7468F3CC1E}">
  <dimension ref="A2:Z128"/>
  <sheetViews>
    <sheetView showGridLines="0" topLeftCell="G1" zoomScale="80" zoomScaleNormal="80" workbookViewId="0">
      <pane ySplit="8" topLeftCell="A9" activePane="bottomLeft" state="frozen"/>
      <selection pane="bottomLeft" activeCell="T116" sqref="T116"/>
    </sheetView>
  </sheetViews>
  <sheetFormatPr defaultRowHeight="15" x14ac:dyDescent="0.25"/>
  <cols>
    <col min="1" max="1" width="2.7109375" style="36" customWidth="1"/>
    <col min="2" max="2" width="13.5703125" bestFit="1" customWidth="1"/>
    <col min="3" max="3" width="12.28515625" bestFit="1" customWidth="1"/>
    <col min="4" max="4" width="16.42578125" bestFit="1" customWidth="1"/>
    <col min="5" max="5" width="13.42578125" bestFit="1" customWidth="1"/>
    <col min="6" max="6" width="19.5703125" bestFit="1" customWidth="1"/>
    <col min="7" max="7" width="9.140625" style="30"/>
    <col min="8" max="8" width="11.5703125" style="30" bestFit="1" customWidth="1"/>
    <col min="9" max="9" width="28.85546875" bestFit="1" customWidth="1"/>
    <col min="10" max="10" width="29.140625" customWidth="1"/>
    <col min="11" max="11" width="1.7109375" customWidth="1"/>
    <col min="12" max="12" width="17.42578125" bestFit="1" customWidth="1"/>
    <col min="13" max="13" width="18" bestFit="1" customWidth="1"/>
    <col min="14" max="14" width="1.7109375" customWidth="1"/>
    <col min="15" max="19" width="10.7109375" bestFit="1" customWidth="1"/>
    <col min="20" max="20" width="10.140625" bestFit="1" customWidth="1"/>
    <col min="21" max="21" width="10" bestFit="1" customWidth="1"/>
    <col min="22" max="22" width="10.5703125" bestFit="1" customWidth="1"/>
    <col min="23" max="23" width="10" bestFit="1" customWidth="1"/>
    <col min="24" max="24" width="10.28515625" bestFit="1" customWidth="1"/>
    <col min="25" max="26" width="10.5703125" bestFit="1" customWidth="1"/>
  </cols>
  <sheetData>
    <row r="2" spans="1:26" s="2" customFormat="1" ht="33.75" x14ac:dyDescent="0.5">
      <c r="A2" s="1" t="str">
        <f ca="1">"Fluxo de Caixa Diário - "&amp;Premissas!C4</f>
        <v>Fluxo de Caixa Diário - 2020</v>
      </c>
      <c r="G2" s="31"/>
      <c r="H2" s="31"/>
    </row>
    <row r="4" spans="1:26" x14ac:dyDescent="0.25">
      <c r="B4" s="29" t="s">
        <v>172</v>
      </c>
      <c r="C4" s="29" t="s">
        <v>173</v>
      </c>
      <c r="D4" s="29" t="s">
        <v>169</v>
      </c>
      <c r="E4" s="29" t="s">
        <v>170</v>
      </c>
      <c r="F4" s="29" t="s">
        <v>171</v>
      </c>
      <c r="M4" s="8" t="s">
        <v>169</v>
      </c>
      <c r="O4" s="35">
        <f t="shared" ref="O4:Z4" si="0">SUMIF(O$9:O$1048576,"&gt;0",O$9:O$1048576)</f>
        <v>56325</v>
      </c>
      <c r="P4" s="35">
        <f t="shared" si="0"/>
        <v>19889</v>
      </c>
      <c r="Q4" s="35">
        <f t="shared" si="0"/>
        <v>62947</v>
      </c>
      <c r="R4" s="35">
        <f t="shared" si="0"/>
        <v>31838</v>
      </c>
      <c r="S4" s="35">
        <f t="shared" si="0"/>
        <v>53566</v>
      </c>
      <c r="T4" s="35">
        <f t="shared" si="0"/>
        <v>91372</v>
      </c>
      <c r="U4" s="35">
        <f t="shared" si="0"/>
        <v>77493</v>
      </c>
      <c r="V4" s="35">
        <f t="shared" si="0"/>
        <v>0</v>
      </c>
      <c r="W4" s="35">
        <f t="shared" si="0"/>
        <v>0</v>
      </c>
      <c r="X4" s="35">
        <f t="shared" si="0"/>
        <v>0</v>
      </c>
      <c r="Y4" s="35">
        <f t="shared" si="0"/>
        <v>0</v>
      </c>
      <c r="Z4" s="35">
        <f t="shared" si="0"/>
        <v>0</v>
      </c>
    </row>
    <row r="5" spans="1:26" x14ac:dyDescent="0.25">
      <c r="B5" s="38" t="s">
        <v>109</v>
      </c>
      <c r="C5" s="12" t="s">
        <v>174</v>
      </c>
      <c r="D5" s="40">
        <f>SUMIFS(E$9:E$1048576,E$9:E$1048576,"&gt;0",A$9:A$1048576,B5)</f>
        <v>7500</v>
      </c>
      <c r="E5" s="40">
        <f>SUMIFS(E$9:E$1048576,E$9:E$1048576,"&lt;0",A$9:A$1048576,B5)</f>
        <v>-2575</v>
      </c>
      <c r="F5" s="40">
        <f>SUM(D5:E5)</f>
        <v>4925</v>
      </c>
      <c r="M5" s="8" t="s">
        <v>170</v>
      </c>
      <c r="O5" s="35">
        <f t="shared" ref="O5:Z5" si="1">SUMIF(O$9:O$1048576,"&lt;0",O$9:O$1048576)</f>
        <v>-17533</v>
      </c>
      <c r="P5" s="35">
        <f t="shared" si="1"/>
        <v>-18498</v>
      </c>
      <c r="Q5" s="35">
        <f t="shared" si="1"/>
        <v>-13538</v>
      </c>
      <c r="R5" s="35">
        <f t="shared" si="1"/>
        <v>-18686</v>
      </c>
      <c r="S5" s="35">
        <f t="shared" si="1"/>
        <v>-14023</v>
      </c>
      <c r="T5" s="35">
        <f t="shared" si="1"/>
        <v>-9541</v>
      </c>
      <c r="U5" s="35">
        <f t="shared" si="1"/>
        <v>-6506</v>
      </c>
      <c r="V5" s="35">
        <f t="shared" si="1"/>
        <v>-1355</v>
      </c>
      <c r="W5" s="35">
        <f t="shared" si="1"/>
        <v>0</v>
      </c>
      <c r="X5" s="35">
        <f t="shared" si="1"/>
        <v>0</v>
      </c>
      <c r="Y5" s="35">
        <f t="shared" si="1"/>
        <v>0</v>
      </c>
      <c r="Z5" s="35">
        <f t="shared" si="1"/>
        <v>0</v>
      </c>
    </row>
    <row r="6" spans="1:26" x14ac:dyDescent="0.25">
      <c r="B6" s="39">
        <f ca="1">TODAY()</f>
        <v>44037</v>
      </c>
      <c r="C6" s="12" t="s">
        <v>175</v>
      </c>
      <c r="D6" s="40">
        <f ca="1">SUMIFS(Fluxo_Diário_DB!G:G,Fluxo_Diário_DB!G:G,"&gt;0",Fluxo_Diário_DB!F:F,"&lt;="&amp;B6)</f>
        <v>378827</v>
      </c>
      <c r="E6" s="40">
        <f ca="1">SUMIFS(Fluxo_Diário_DB!G:G,Fluxo_Diário_DB!G:G,"&lt;0",Fluxo_Diário_DB!F:F,"&lt;="&amp;B6)</f>
        <v>-93143</v>
      </c>
      <c r="F6" s="40">
        <f ca="1">SUM(D6:E6)</f>
        <v>285684</v>
      </c>
      <c r="M6" s="41" t="s">
        <v>171</v>
      </c>
      <c r="N6" s="3"/>
      <c r="O6" s="42">
        <f>SUM(O4:O5)</f>
        <v>38792</v>
      </c>
      <c r="P6" s="42">
        <f t="shared" ref="P6:Z6" si="2">SUM(P4:P5)</f>
        <v>1391</v>
      </c>
      <c r="Q6" s="42">
        <f t="shared" si="2"/>
        <v>49409</v>
      </c>
      <c r="R6" s="42">
        <f t="shared" si="2"/>
        <v>13152</v>
      </c>
      <c r="S6" s="42">
        <f t="shared" si="2"/>
        <v>39543</v>
      </c>
      <c r="T6" s="42">
        <f t="shared" si="2"/>
        <v>81831</v>
      </c>
      <c r="U6" s="42">
        <f t="shared" si="2"/>
        <v>70987</v>
      </c>
      <c r="V6" s="42">
        <f t="shared" si="2"/>
        <v>-1355</v>
      </c>
      <c r="W6" s="42">
        <f t="shared" si="2"/>
        <v>0</v>
      </c>
      <c r="X6" s="42">
        <f t="shared" si="2"/>
        <v>0</v>
      </c>
      <c r="Y6" s="42">
        <f t="shared" si="2"/>
        <v>0</v>
      </c>
      <c r="Z6" s="42">
        <f t="shared" si="2"/>
        <v>0</v>
      </c>
    </row>
    <row r="7" spans="1:26" x14ac:dyDescent="0.25">
      <c r="G7" s="30" t="s">
        <v>151</v>
      </c>
      <c r="H7" s="30" t="s">
        <v>152</v>
      </c>
      <c r="O7" s="34">
        <v>1</v>
      </c>
      <c r="P7" s="34">
        <v>2</v>
      </c>
      <c r="Q7" s="34">
        <v>3</v>
      </c>
      <c r="R7" s="34">
        <v>4</v>
      </c>
      <c r="S7" s="34">
        <v>5</v>
      </c>
      <c r="T7" s="34">
        <v>6</v>
      </c>
      <c r="U7" s="34">
        <v>7</v>
      </c>
      <c r="V7" s="34">
        <v>8</v>
      </c>
      <c r="W7" s="34">
        <v>9</v>
      </c>
      <c r="X7" s="34">
        <v>10</v>
      </c>
      <c r="Y7" s="34">
        <v>11</v>
      </c>
      <c r="Z7" s="34">
        <v>12</v>
      </c>
    </row>
    <row r="8" spans="1:26" s="30" customFormat="1" x14ac:dyDescent="0.25">
      <c r="A8" s="34"/>
      <c r="B8" s="29" t="s">
        <v>146</v>
      </c>
      <c r="C8" s="29" t="s">
        <v>147</v>
      </c>
      <c r="D8" s="29" t="s">
        <v>148</v>
      </c>
      <c r="E8" s="29" t="s">
        <v>147</v>
      </c>
      <c r="F8" s="29" t="s">
        <v>149</v>
      </c>
      <c r="G8" s="29" t="s">
        <v>150</v>
      </c>
      <c r="H8" s="29" t="s">
        <v>153</v>
      </c>
      <c r="I8" s="29" t="s">
        <v>154</v>
      </c>
      <c r="J8" s="29" t="s">
        <v>155</v>
      </c>
      <c r="K8"/>
      <c r="L8" s="29" t="s">
        <v>156</v>
      </c>
      <c r="M8" s="29" t="s">
        <v>157</v>
      </c>
      <c r="N8"/>
      <c r="O8" s="29" t="s">
        <v>109</v>
      </c>
      <c r="P8" s="29" t="s">
        <v>110</v>
      </c>
      <c r="Q8" s="29" t="s">
        <v>111</v>
      </c>
      <c r="R8" s="29" t="s">
        <v>112</v>
      </c>
      <c r="S8" s="29" t="s">
        <v>113</v>
      </c>
      <c r="T8" s="29" t="s">
        <v>114</v>
      </c>
      <c r="U8" s="29" t="s">
        <v>115</v>
      </c>
      <c r="V8" s="29" t="s">
        <v>116</v>
      </c>
      <c r="W8" s="29" t="s">
        <v>117</v>
      </c>
      <c r="X8" s="29" t="s">
        <v>118</v>
      </c>
      <c r="Y8" s="29" t="s">
        <v>119</v>
      </c>
      <c r="Z8" s="29" t="s">
        <v>120</v>
      </c>
    </row>
    <row r="9" spans="1:26" x14ac:dyDescent="0.25">
      <c r="A9" s="36" t="str">
        <f>IF(D9="","",TEXT(D9,"mmm"))</f>
        <v>dez</v>
      </c>
      <c r="B9" s="10">
        <v>43830</v>
      </c>
      <c r="C9" s="33">
        <v>0</v>
      </c>
      <c r="D9" s="10">
        <v>43830</v>
      </c>
      <c r="E9" s="33">
        <v>0</v>
      </c>
      <c r="F9" s="7"/>
      <c r="G9" s="12"/>
      <c r="H9" s="12"/>
      <c r="I9" s="7"/>
      <c r="J9" s="8" t="s">
        <v>107</v>
      </c>
      <c r="L9" s="32">
        <f>C9</f>
        <v>0</v>
      </c>
      <c r="M9" s="32">
        <f>E9</f>
        <v>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36" t="str">
        <f t="shared" ref="A10:A26" si="3">IF(D10="","",TEXT(D10,"mmm"))</f>
        <v>jan</v>
      </c>
      <c r="B10" s="10">
        <v>43833</v>
      </c>
      <c r="C10" s="33">
        <v>1200</v>
      </c>
      <c r="D10" s="10">
        <v>43834</v>
      </c>
      <c r="E10" s="33">
        <v>1200</v>
      </c>
      <c r="F10" s="7" t="s">
        <v>14</v>
      </c>
      <c r="G10" s="12"/>
      <c r="H10" s="12">
        <v>905006</v>
      </c>
      <c r="I10" s="7" t="s">
        <v>7</v>
      </c>
      <c r="J10" s="8" t="s">
        <v>158</v>
      </c>
      <c r="L10" s="32">
        <f>C10+L9</f>
        <v>1200</v>
      </c>
      <c r="M10" s="32">
        <f>E10+M9</f>
        <v>1200</v>
      </c>
      <c r="O10" s="35">
        <f>IF($D10="","",IF(MONTH($D10)=O$7,$E10,0))</f>
        <v>1200</v>
      </c>
      <c r="P10" s="35">
        <f t="shared" ref="P10:Z25" si="4">IF($D10="","",IF(MONTH($D10)=P$7,$E10,0))</f>
        <v>0</v>
      </c>
      <c r="Q10" s="35">
        <f t="shared" si="4"/>
        <v>0</v>
      </c>
      <c r="R10" s="35">
        <f t="shared" si="4"/>
        <v>0</v>
      </c>
      <c r="S10" s="35">
        <f t="shared" si="4"/>
        <v>0</v>
      </c>
      <c r="T10" s="35">
        <f t="shared" si="4"/>
        <v>0</v>
      </c>
      <c r="U10" s="35">
        <f t="shared" si="4"/>
        <v>0</v>
      </c>
      <c r="V10" s="35">
        <f t="shared" si="4"/>
        <v>0</v>
      </c>
      <c r="W10" s="35">
        <f t="shared" si="4"/>
        <v>0</v>
      </c>
      <c r="X10" s="35">
        <f t="shared" si="4"/>
        <v>0</v>
      </c>
      <c r="Y10" s="35">
        <f t="shared" si="4"/>
        <v>0</v>
      </c>
      <c r="Z10" s="35">
        <f t="shared" si="4"/>
        <v>0</v>
      </c>
    </row>
    <row r="11" spans="1:26" x14ac:dyDescent="0.25">
      <c r="A11" s="36" t="str">
        <f t="shared" si="3"/>
        <v>jan</v>
      </c>
      <c r="B11" s="10">
        <v>43833</v>
      </c>
      <c r="C11" s="33">
        <v>-50</v>
      </c>
      <c r="D11" s="10">
        <v>43833</v>
      </c>
      <c r="E11" s="33">
        <v>-50</v>
      </c>
      <c r="F11" s="7" t="s">
        <v>9</v>
      </c>
      <c r="G11" s="12">
        <v>5455512</v>
      </c>
      <c r="H11" s="12"/>
      <c r="I11" s="7" t="s">
        <v>41</v>
      </c>
      <c r="J11" s="8" t="s">
        <v>159</v>
      </c>
      <c r="L11" s="32">
        <f>C11+L10</f>
        <v>1150</v>
      </c>
      <c r="M11" s="32">
        <f>E11+M10</f>
        <v>1150</v>
      </c>
      <c r="O11" s="35">
        <f t="shared" ref="O11:Z27" si="5">IF($D11="","",IF(MONTH($D11)=O$7,$E11,0))</f>
        <v>-50</v>
      </c>
      <c r="P11" s="35">
        <f t="shared" si="4"/>
        <v>0</v>
      </c>
      <c r="Q11" s="35">
        <f t="shared" si="4"/>
        <v>0</v>
      </c>
      <c r="R11" s="35">
        <f t="shared" si="4"/>
        <v>0</v>
      </c>
      <c r="S11" s="35">
        <f t="shared" si="4"/>
        <v>0</v>
      </c>
      <c r="T11" s="35">
        <f t="shared" si="4"/>
        <v>0</v>
      </c>
      <c r="U11" s="35">
        <f t="shared" si="4"/>
        <v>0</v>
      </c>
      <c r="V11" s="35">
        <f t="shared" si="4"/>
        <v>0</v>
      </c>
      <c r="W11" s="35">
        <f t="shared" si="4"/>
        <v>0</v>
      </c>
      <c r="X11" s="35">
        <f t="shared" si="4"/>
        <v>0</v>
      </c>
      <c r="Y11" s="35">
        <f t="shared" si="4"/>
        <v>0</v>
      </c>
      <c r="Z11" s="35">
        <f t="shared" si="4"/>
        <v>0</v>
      </c>
    </row>
    <row r="12" spans="1:26" x14ac:dyDescent="0.25">
      <c r="A12" s="36" t="str">
        <f t="shared" si="3"/>
        <v>jan</v>
      </c>
      <c r="B12" s="10">
        <v>43834</v>
      </c>
      <c r="C12" s="33">
        <v>-20</v>
      </c>
      <c r="D12" s="10">
        <v>43834</v>
      </c>
      <c r="E12" s="33">
        <v>-20</v>
      </c>
      <c r="F12" s="7" t="s">
        <v>16</v>
      </c>
      <c r="G12" s="12">
        <v>5645645</v>
      </c>
      <c r="H12" s="12"/>
      <c r="I12" s="7" t="s">
        <v>25</v>
      </c>
      <c r="J12" s="8" t="s">
        <v>160</v>
      </c>
      <c r="L12" s="32">
        <f>C12+L11</f>
        <v>1130</v>
      </c>
      <c r="M12" s="32">
        <f>E12+M11</f>
        <v>1130</v>
      </c>
      <c r="O12" s="35">
        <f t="shared" si="5"/>
        <v>-20</v>
      </c>
      <c r="P12" s="35">
        <f t="shared" si="4"/>
        <v>0</v>
      </c>
      <c r="Q12" s="35">
        <f t="shared" si="4"/>
        <v>0</v>
      </c>
      <c r="R12" s="35">
        <f t="shared" si="4"/>
        <v>0</v>
      </c>
      <c r="S12" s="35">
        <f t="shared" si="4"/>
        <v>0</v>
      </c>
      <c r="T12" s="35">
        <f t="shared" si="4"/>
        <v>0</v>
      </c>
      <c r="U12" s="35">
        <f t="shared" si="4"/>
        <v>0</v>
      </c>
      <c r="V12" s="35">
        <f t="shared" si="4"/>
        <v>0</v>
      </c>
      <c r="W12" s="35">
        <f t="shared" si="4"/>
        <v>0</v>
      </c>
      <c r="X12" s="35">
        <f t="shared" si="4"/>
        <v>0</v>
      </c>
      <c r="Y12" s="35">
        <f t="shared" si="4"/>
        <v>0</v>
      </c>
      <c r="Z12" s="35">
        <f t="shared" si="4"/>
        <v>0</v>
      </c>
    </row>
    <row r="13" spans="1:26" x14ac:dyDescent="0.25">
      <c r="A13" s="36" t="str">
        <f t="shared" si="3"/>
        <v>jan</v>
      </c>
      <c r="B13" s="10">
        <v>43835</v>
      </c>
      <c r="C13" s="33">
        <v>500</v>
      </c>
      <c r="D13" s="10">
        <v>43840</v>
      </c>
      <c r="E13" s="33">
        <v>500</v>
      </c>
      <c r="F13" s="7" t="s">
        <v>14</v>
      </c>
      <c r="G13" s="12"/>
      <c r="H13" s="12">
        <v>403518</v>
      </c>
      <c r="I13" s="7" t="s">
        <v>10</v>
      </c>
      <c r="J13" s="8" t="s">
        <v>161</v>
      </c>
      <c r="L13" s="32">
        <f t="shared" ref="L13:L26" si="6">C13+L12</f>
        <v>1630</v>
      </c>
      <c r="M13" s="32">
        <f t="shared" ref="M13:M26" si="7">E13+M12</f>
        <v>1630</v>
      </c>
      <c r="O13" s="35">
        <f t="shared" si="5"/>
        <v>500</v>
      </c>
      <c r="P13" s="35">
        <f t="shared" si="4"/>
        <v>0</v>
      </c>
      <c r="Q13" s="35">
        <f t="shared" si="4"/>
        <v>0</v>
      </c>
      <c r="R13" s="35">
        <f t="shared" si="4"/>
        <v>0</v>
      </c>
      <c r="S13" s="35">
        <f t="shared" si="4"/>
        <v>0</v>
      </c>
      <c r="T13" s="35">
        <f t="shared" si="4"/>
        <v>0</v>
      </c>
      <c r="U13" s="35">
        <f t="shared" si="4"/>
        <v>0</v>
      </c>
      <c r="V13" s="35">
        <f t="shared" si="4"/>
        <v>0</v>
      </c>
      <c r="W13" s="35">
        <f t="shared" si="4"/>
        <v>0</v>
      </c>
      <c r="X13" s="35">
        <f t="shared" si="4"/>
        <v>0</v>
      </c>
      <c r="Y13" s="35">
        <f t="shared" si="4"/>
        <v>0</v>
      </c>
      <c r="Z13" s="35">
        <f t="shared" si="4"/>
        <v>0</v>
      </c>
    </row>
    <row r="14" spans="1:26" x14ac:dyDescent="0.25">
      <c r="A14" s="36" t="str">
        <f t="shared" si="3"/>
        <v>jan</v>
      </c>
      <c r="B14" s="10">
        <v>43835</v>
      </c>
      <c r="C14" s="33">
        <v>800</v>
      </c>
      <c r="D14" s="10">
        <v>43840</v>
      </c>
      <c r="E14" s="33">
        <v>800</v>
      </c>
      <c r="F14" s="7" t="s">
        <v>14</v>
      </c>
      <c r="G14" s="12"/>
      <c r="H14" s="12">
        <v>868641</v>
      </c>
      <c r="I14" s="7" t="s">
        <v>103</v>
      </c>
      <c r="J14" s="8" t="s">
        <v>161</v>
      </c>
      <c r="L14" s="32">
        <f t="shared" si="6"/>
        <v>2430</v>
      </c>
      <c r="M14" s="32">
        <f t="shared" si="7"/>
        <v>2430</v>
      </c>
      <c r="O14" s="35">
        <f t="shared" si="5"/>
        <v>800</v>
      </c>
      <c r="P14" s="35">
        <f t="shared" si="4"/>
        <v>0</v>
      </c>
      <c r="Q14" s="35">
        <f t="shared" si="4"/>
        <v>0</v>
      </c>
      <c r="R14" s="35">
        <f t="shared" si="4"/>
        <v>0</v>
      </c>
      <c r="S14" s="35">
        <f t="shared" si="4"/>
        <v>0</v>
      </c>
      <c r="T14" s="35">
        <f t="shared" si="4"/>
        <v>0</v>
      </c>
      <c r="U14" s="35">
        <f t="shared" si="4"/>
        <v>0</v>
      </c>
      <c r="V14" s="35">
        <f t="shared" si="4"/>
        <v>0</v>
      </c>
      <c r="W14" s="35">
        <f t="shared" si="4"/>
        <v>0</v>
      </c>
      <c r="X14" s="35">
        <f t="shared" si="4"/>
        <v>0</v>
      </c>
      <c r="Y14" s="35">
        <f t="shared" si="4"/>
        <v>0</v>
      </c>
      <c r="Z14" s="35">
        <f t="shared" si="4"/>
        <v>0</v>
      </c>
    </row>
    <row r="15" spans="1:26" x14ac:dyDescent="0.25">
      <c r="A15" s="36" t="str">
        <f t="shared" si="3"/>
        <v>jan</v>
      </c>
      <c r="B15" s="10">
        <v>43835</v>
      </c>
      <c r="C15" s="33">
        <v>5000</v>
      </c>
      <c r="D15" s="10">
        <v>43840</v>
      </c>
      <c r="E15" s="33">
        <v>5000</v>
      </c>
      <c r="F15" s="7" t="s">
        <v>14</v>
      </c>
      <c r="G15" s="12"/>
      <c r="H15" s="12">
        <v>615347</v>
      </c>
      <c r="I15" s="7" t="s">
        <v>7</v>
      </c>
      <c r="J15" s="8" t="s">
        <v>161</v>
      </c>
      <c r="L15" s="32">
        <f t="shared" si="6"/>
        <v>7430</v>
      </c>
      <c r="M15" s="32">
        <f t="shared" si="7"/>
        <v>7430</v>
      </c>
      <c r="O15" s="35">
        <f t="shared" si="5"/>
        <v>5000</v>
      </c>
      <c r="P15" s="35">
        <f t="shared" si="4"/>
        <v>0</v>
      </c>
      <c r="Q15" s="35">
        <f t="shared" si="4"/>
        <v>0</v>
      </c>
      <c r="R15" s="35">
        <f t="shared" si="4"/>
        <v>0</v>
      </c>
      <c r="S15" s="35">
        <f t="shared" si="4"/>
        <v>0</v>
      </c>
      <c r="T15" s="35">
        <f t="shared" si="4"/>
        <v>0</v>
      </c>
      <c r="U15" s="35">
        <f t="shared" si="4"/>
        <v>0</v>
      </c>
      <c r="V15" s="35">
        <f t="shared" si="4"/>
        <v>0</v>
      </c>
      <c r="W15" s="35">
        <f t="shared" si="4"/>
        <v>0</v>
      </c>
      <c r="X15" s="35">
        <f t="shared" si="4"/>
        <v>0</v>
      </c>
      <c r="Y15" s="35">
        <f t="shared" si="4"/>
        <v>0</v>
      </c>
      <c r="Z15" s="35">
        <f t="shared" si="4"/>
        <v>0</v>
      </c>
    </row>
    <row r="16" spans="1:26" x14ac:dyDescent="0.25">
      <c r="A16" s="36" t="str">
        <f t="shared" si="3"/>
        <v>jan</v>
      </c>
      <c r="B16" s="10">
        <v>43837</v>
      </c>
      <c r="C16" s="33">
        <v>-30</v>
      </c>
      <c r="D16" s="10">
        <v>43837</v>
      </c>
      <c r="E16" s="33">
        <v>-30</v>
      </c>
      <c r="F16" s="7" t="s">
        <v>14</v>
      </c>
      <c r="G16" s="12">
        <v>5455512</v>
      </c>
      <c r="H16" s="12"/>
      <c r="I16" s="7" t="s">
        <v>43</v>
      </c>
      <c r="J16" s="8" t="s">
        <v>162</v>
      </c>
      <c r="L16" s="32">
        <f t="shared" si="6"/>
        <v>7400</v>
      </c>
      <c r="M16" s="32">
        <f t="shared" si="7"/>
        <v>7400</v>
      </c>
      <c r="O16" s="35">
        <f t="shared" si="5"/>
        <v>-30</v>
      </c>
      <c r="P16" s="35">
        <f t="shared" si="4"/>
        <v>0</v>
      </c>
      <c r="Q16" s="35">
        <f t="shared" si="4"/>
        <v>0</v>
      </c>
      <c r="R16" s="35">
        <f t="shared" si="4"/>
        <v>0</v>
      </c>
      <c r="S16" s="35">
        <f t="shared" si="4"/>
        <v>0</v>
      </c>
      <c r="T16" s="35">
        <f t="shared" si="4"/>
        <v>0</v>
      </c>
      <c r="U16" s="35">
        <f t="shared" si="4"/>
        <v>0</v>
      </c>
      <c r="V16" s="35">
        <f t="shared" si="4"/>
        <v>0</v>
      </c>
      <c r="W16" s="35">
        <f t="shared" si="4"/>
        <v>0</v>
      </c>
      <c r="X16" s="35">
        <f t="shared" si="4"/>
        <v>0</v>
      </c>
      <c r="Y16" s="35">
        <f t="shared" si="4"/>
        <v>0</v>
      </c>
      <c r="Z16" s="35">
        <f t="shared" si="4"/>
        <v>0</v>
      </c>
    </row>
    <row r="17" spans="1:26" x14ac:dyDescent="0.25">
      <c r="A17" s="36" t="str">
        <f t="shared" si="3"/>
        <v>jan</v>
      </c>
      <c r="B17" s="10">
        <v>43837</v>
      </c>
      <c r="C17" s="33">
        <v>-100</v>
      </c>
      <c r="D17" s="10">
        <v>43837</v>
      </c>
      <c r="E17" s="33">
        <v>-100</v>
      </c>
      <c r="F17" s="7" t="s">
        <v>14</v>
      </c>
      <c r="G17" s="12">
        <v>5645645</v>
      </c>
      <c r="H17" s="12"/>
      <c r="I17" s="7" t="s">
        <v>21</v>
      </c>
      <c r="J17" s="8" t="s">
        <v>163</v>
      </c>
      <c r="L17" s="32">
        <f t="shared" si="6"/>
        <v>7300</v>
      </c>
      <c r="M17" s="32">
        <f t="shared" si="7"/>
        <v>7300</v>
      </c>
      <c r="O17" s="35">
        <f t="shared" si="5"/>
        <v>-100</v>
      </c>
      <c r="P17" s="35">
        <f t="shared" si="4"/>
        <v>0</v>
      </c>
      <c r="Q17" s="35">
        <f t="shared" si="4"/>
        <v>0</v>
      </c>
      <c r="R17" s="35">
        <f t="shared" si="4"/>
        <v>0</v>
      </c>
      <c r="S17" s="35">
        <f t="shared" si="4"/>
        <v>0</v>
      </c>
      <c r="T17" s="35">
        <f t="shared" si="4"/>
        <v>0</v>
      </c>
      <c r="U17" s="35">
        <f t="shared" si="4"/>
        <v>0</v>
      </c>
      <c r="V17" s="35">
        <f t="shared" si="4"/>
        <v>0</v>
      </c>
      <c r="W17" s="35">
        <f t="shared" si="4"/>
        <v>0</v>
      </c>
      <c r="X17" s="35">
        <f t="shared" si="4"/>
        <v>0</v>
      </c>
      <c r="Y17" s="35">
        <f t="shared" si="4"/>
        <v>0</v>
      </c>
      <c r="Z17" s="35">
        <f t="shared" si="4"/>
        <v>0</v>
      </c>
    </row>
    <row r="18" spans="1:26" x14ac:dyDescent="0.25">
      <c r="A18" s="36" t="str">
        <f t="shared" si="3"/>
        <v>jan</v>
      </c>
      <c r="B18" s="10">
        <v>43837</v>
      </c>
      <c r="C18" s="33">
        <v>-45</v>
      </c>
      <c r="D18" s="10">
        <v>43837</v>
      </c>
      <c r="E18" s="33">
        <v>-45</v>
      </c>
      <c r="F18" s="7" t="s">
        <v>14</v>
      </c>
      <c r="G18" s="12">
        <v>5835778</v>
      </c>
      <c r="H18" s="12"/>
      <c r="I18" s="7" t="s">
        <v>29</v>
      </c>
      <c r="J18" s="8" t="s">
        <v>164</v>
      </c>
      <c r="L18" s="32">
        <f t="shared" si="6"/>
        <v>7255</v>
      </c>
      <c r="M18" s="32">
        <f t="shared" si="7"/>
        <v>7255</v>
      </c>
      <c r="O18" s="35">
        <f t="shared" si="5"/>
        <v>-45</v>
      </c>
      <c r="P18" s="35">
        <f t="shared" si="4"/>
        <v>0</v>
      </c>
      <c r="Q18" s="35">
        <f t="shared" si="4"/>
        <v>0</v>
      </c>
      <c r="R18" s="35">
        <f t="shared" si="4"/>
        <v>0</v>
      </c>
      <c r="S18" s="35">
        <f t="shared" si="4"/>
        <v>0</v>
      </c>
      <c r="T18" s="35">
        <f t="shared" si="4"/>
        <v>0</v>
      </c>
      <c r="U18" s="35">
        <f t="shared" si="4"/>
        <v>0</v>
      </c>
      <c r="V18" s="35">
        <f t="shared" si="4"/>
        <v>0</v>
      </c>
      <c r="W18" s="35">
        <f t="shared" si="4"/>
        <v>0</v>
      </c>
      <c r="X18" s="35">
        <f t="shared" si="4"/>
        <v>0</v>
      </c>
      <c r="Y18" s="35">
        <f t="shared" si="4"/>
        <v>0</v>
      </c>
      <c r="Z18" s="35">
        <f t="shared" si="4"/>
        <v>0</v>
      </c>
    </row>
    <row r="19" spans="1:26" x14ac:dyDescent="0.25">
      <c r="A19" s="36" t="str">
        <f t="shared" si="3"/>
        <v>jan</v>
      </c>
      <c r="B19" s="10">
        <v>43837</v>
      </c>
      <c r="C19" s="33">
        <v>-500</v>
      </c>
      <c r="D19" s="10">
        <v>43837</v>
      </c>
      <c r="E19" s="33">
        <v>-500</v>
      </c>
      <c r="F19" s="7" t="s">
        <v>14</v>
      </c>
      <c r="G19" s="12">
        <v>6025911</v>
      </c>
      <c r="H19" s="12"/>
      <c r="I19" s="7" t="s">
        <v>45</v>
      </c>
      <c r="J19" s="8" t="s">
        <v>165</v>
      </c>
      <c r="L19" s="32">
        <f t="shared" si="6"/>
        <v>6755</v>
      </c>
      <c r="M19" s="32">
        <f t="shared" si="7"/>
        <v>6755</v>
      </c>
      <c r="O19" s="35">
        <f t="shared" si="5"/>
        <v>-500</v>
      </c>
      <c r="P19" s="35">
        <f t="shared" si="4"/>
        <v>0</v>
      </c>
      <c r="Q19" s="35">
        <f t="shared" si="4"/>
        <v>0</v>
      </c>
      <c r="R19" s="35">
        <f t="shared" si="4"/>
        <v>0</v>
      </c>
      <c r="S19" s="35">
        <f t="shared" si="4"/>
        <v>0</v>
      </c>
      <c r="T19" s="35">
        <f t="shared" si="4"/>
        <v>0</v>
      </c>
      <c r="U19" s="35">
        <f t="shared" si="4"/>
        <v>0</v>
      </c>
      <c r="V19" s="35">
        <f t="shared" si="4"/>
        <v>0</v>
      </c>
      <c r="W19" s="35">
        <f t="shared" si="4"/>
        <v>0</v>
      </c>
      <c r="X19" s="35">
        <f t="shared" si="4"/>
        <v>0</v>
      </c>
      <c r="Y19" s="35">
        <f t="shared" si="4"/>
        <v>0</v>
      </c>
      <c r="Z19" s="35">
        <f t="shared" si="4"/>
        <v>0</v>
      </c>
    </row>
    <row r="20" spans="1:26" x14ac:dyDescent="0.25">
      <c r="A20" s="36" t="str">
        <f t="shared" si="3"/>
        <v>jan</v>
      </c>
      <c r="B20" s="10">
        <v>43837</v>
      </c>
      <c r="C20" s="33">
        <v>-1000</v>
      </c>
      <c r="D20" s="10">
        <v>43837</v>
      </c>
      <c r="E20" s="33">
        <v>-1000</v>
      </c>
      <c r="F20" s="7" t="s">
        <v>14</v>
      </c>
      <c r="G20" s="12">
        <v>6216044</v>
      </c>
      <c r="H20" s="12"/>
      <c r="I20" s="7" t="s">
        <v>39</v>
      </c>
      <c r="J20" s="8" t="s">
        <v>166</v>
      </c>
      <c r="L20" s="32">
        <f t="shared" si="6"/>
        <v>5755</v>
      </c>
      <c r="M20" s="32">
        <f t="shared" si="7"/>
        <v>5755</v>
      </c>
      <c r="O20" s="35">
        <f t="shared" si="5"/>
        <v>-1000</v>
      </c>
      <c r="P20" s="35">
        <f t="shared" si="4"/>
        <v>0</v>
      </c>
      <c r="Q20" s="35">
        <f t="shared" si="4"/>
        <v>0</v>
      </c>
      <c r="R20" s="35">
        <f t="shared" si="4"/>
        <v>0</v>
      </c>
      <c r="S20" s="35">
        <f t="shared" si="4"/>
        <v>0</v>
      </c>
      <c r="T20" s="35">
        <f t="shared" si="4"/>
        <v>0</v>
      </c>
      <c r="U20" s="35">
        <f t="shared" si="4"/>
        <v>0</v>
      </c>
      <c r="V20" s="35">
        <f t="shared" si="4"/>
        <v>0</v>
      </c>
      <c r="W20" s="35">
        <f t="shared" si="4"/>
        <v>0</v>
      </c>
      <c r="X20" s="35">
        <f t="shared" si="4"/>
        <v>0</v>
      </c>
      <c r="Y20" s="35">
        <f t="shared" si="4"/>
        <v>0</v>
      </c>
      <c r="Z20" s="35">
        <f t="shared" si="4"/>
        <v>0</v>
      </c>
    </row>
    <row r="21" spans="1:26" x14ac:dyDescent="0.25">
      <c r="A21" s="36" t="str">
        <f t="shared" si="3"/>
        <v>jan</v>
      </c>
      <c r="B21" s="10">
        <v>43837</v>
      </c>
      <c r="C21" s="33">
        <v>-800</v>
      </c>
      <c r="D21" s="10">
        <v>43837</v>
      </c>
      <c r="E21" s="33">
        <v>-800</v>
      </c>
      <c r="F21" s="7" t="s">
        <v>14</v>
      </c>
      <c r="G21" s="12">
        <v>6406177</v>
      </c>
      <c r="H21" s="12"/>
      <c r="I21" s="7" t="s">
        <v>59</v>
      </c>
      <c r="J21" s="8" t="s">
        <v>167</v>
      </c>
      <c r="L21" s="32">
        <f t="shared" si="6"/>
        <v>4955</v>
      </c>
      <c r="M21" s="32">
        <f t="shared" si="7"/>
        <v>4955</v>
      </c>
      <c r="O21" s="35">
        <f t="shared" si="5"/>
        <v>-800</v>
      </c>
      <c r="P21" s="35">
        <f t="shared" si="4"/>
        <v>0</v>
      </c>
      <c r="Q21" s="35">
        <f t="shared" si="4"/>
        <v>0</v>
      </c>
      <c r="R21" s="35">
        <f t="shared" si="4"/>
        <v>0</v>
      </c>
      <c r="S21" s="35">
        <f t="shared" si="4"/>
        <v>0</v>
      </c>
      <c r="T21" s="35">
        <f t="shared" si="4"/>
        <v>0</v>
      </c>
      <c r="U21" s="35">
        <f t="shared" si="4"/>
        <v>0</v>
      </c>
      <c r="V21" s="35">
        <f t="shared" si="4"/>
        <v>0</v>
      </c>
      <c r="W21" s="35">
        <f t="shared" si="4"/>
        <v>0</v>
      </c>
      <c r="X21" s="35">
        <f t="shared" si="4"/>
        <v>0</v>
      </c>
      <c r="Y21" s="35">
        <f t="shared" si="4"/>
        <v>0</v>
      </c>
      <c r="Z21" s="35">
        <f t="shared" si="4"/>
        <v>0</v>
      </c>
    </row>
    <row r="22" spans="1:26" x14ac:dyDescent="0.25">
      <c r="A22" s="36" t="str">
        <f t="shared" si="3"/>
        <v>jan</v>
      </c>
      <c r="B22" s="10">
        <v>43837</v>
      </c>
      <c r="C22" s="33">
        <v>-10</v>
      </c>
      <c r="D22" s="10">
        <v>43837</v>
      </c>
      <c r="E22" s="33">
        <v>-10</v>
      </c>
      <c r="F22" s="7" t="s">
        <v>16</v>
      </c>
      <c r="G22" s="12">
        <v>6596310</v>
      </c>
      <c r="H22" s="12"/>
      <c r="I22" s="7" t="s">
        <v>29</v>
      </c>
      <c r="J22" s="8" t="s">
        <v>164</v>
      </c>
      <c r="L22" s="32">
        <f t="shared" si="6"/>
        <v>4945</v>
      </c>
      <c r="M22" s="32">
        <f t="shared" si="7"/>
        <v>4945</v>
      </c>
      <c r="O22" s="35">
        <f t="shared" si="5"/>
        <v>-10</v>
      </c>
      <c r="P22" s="35">
        <f t="shared" si="4"/>
        <v>0</v>
      </c>
      <c r="Q22" s="35">
        <f t="shared" si="4"/>
        <v>0</v>
      </c>
      <c r="R22" s="35">
        <f t="shared" si="4"/>
        <v>0</v>
      </c>
      <c r="S22" s="35">
        <f t="shared" si="4"/>
        <v>0</v>
      </c>
      <c r="T22" s="35">
        <f t="shared" si="4"/>
        <v>0</v>
      </c>
      <c r="U22" s="35">
        <f t="shared" si="4"/>
        <v>0</v>
      </c>
      <c r="V22" s="35">
        <f t="shared" si="4"/>
        <v>0</v>
      </c>
      <c r="W22" s="35">
        <f t="shared" si="4"/>
        <v>0</v>
      </c>
      <c r="X22" s="35">
        <f t="shared" si="4"/>
        <v>0</v>
      </c>
      <c r="Y22" s="35">
        <f t="shared" si="4"/>
        <v>0</v>
      </c>
      <c r="Z22" s="35">
        <f t="shared" si="4"/>
        <v>0</v>
      </c>
    </row>
    <row r="23" spans="1:26" x14ac:dyDescent="0.25">
      <c r="A23" s="36" t="str">
        <f t="shared" si="3"/>
        <v>jan</v>
      </c>
      <c r="B23" s="10">
        <v>43837</v>
      </c>
      <c r="C23" s="33">
        <v>-10</v>
      </c>
      <c r="D23" s="10">
        <v>43837</v>
      </c>
      <c r="E23" s="33">
        <v>-10</v>
      </c>
      <c r="F23" s="7" t="s">
        <v>16</v>
      </c>
      <c r="G23" s="12">
        <v>6786443</v>
      </c>
      <c r="H23" s="12"/>
      <c r="I23" s="7" t="s">
        <v>29</v>
      </c>
      <c r="J23" s="8" t="s">
        <v>164</v>
      </c>
      <c r="L23" s="32">
        <f t="shared" si="6"/>
        <v>4935</v>
      </c>
      <c r="M23" s="32">
        <f t="shared" si="7"/>
        <v>4935</v>
      </c>
      <c r="O23" s="35">
        <f t="shared" si="5"/>
        <v>-10</v>
      </c>
      <c r="P23" s="35">
        <f t="shared" si="4"/>
        <v>0</v>
      </c>
      <c r="Q23" s="35">
        <f t="shared" si="4"/>
        <v>0</v>
      </c>
      <c r="R23" s="35">
        <f t="shared" si="4"/>
        <v>0</v>
      </c>
      <c r="S23" s="35">
        <f t="shared" si="4"/>
        <v>0</v>
      </c>
      <c r="T23" s="35">
        <f t="shared" si="4"/>
        <v>0</v>
      </c>
      <c r="U23" s="35">
        <f t="shared" si="4"/>
        <v>0</v>
      </c>
      <c r="V23" s="35">
        <f t="shared" si="4"/>
        <v>0</v>
      </c>
      <c r="W23" s="35">
        <f t="shared" si="4"/>
        <v>0</v>
      </c>
      <c r="X23" s="35">
        <f t="shared" si="4"/>
        <v>0</v>
      </c>
      <c r="Y23" s="35">
        <f t="shared" si="4"/>
        <v>0</v>
      </c>
      <c r="Z23" s="35">
        <f t="shared" si="4"/>
        <v>0</v>
      </c>
    </row>
    <row r="24" spans="1:26" x14ac:dyDescent="0.25">
      <c r="A24" s="36" t="str">
        <f t="shared" si="3"/>
        <v>jan</v>
      </c>
      <c r="B24" s="10">
        <v>43837</v>
      </c>
      <c r="C24" s="33">
        <v>-10</v>
      </c>
      <c r="D24" s="10">
        <v>43837</v>
      </c>
      <c r="E24" s="33">
        <v>-10</v>
      </c>
      <c r="F24" s="7" t="s">
        <v>16</v>
      </c>
      <c r="G24" s="12">
        <v>6976576</v>
      </c>
      <c r="H24" s="12"/>
      <c r="I24" s="7" t="s">
        <v>29</v>
      </c>
      <c r="J24" s="8" t="s">
        <v>164</v>
      </c>
      <c r="L24" s="32">
        <f t="shared" si="6"/>
        <v>4925</v>
      </c>
      <c r="M24" s="32">
        <f t="shared" si="7"/>
        <v>4925</v>
      </c>
      <c r="O24" s="35">
        <f t="shared" si="5"/>
        <v>-10</v>
      </c>
      <c r="P24" s="35">
        <f t="shared" si="4"/>
        <v>0</v>
      </c>
      <c r="Q24" s="35">
        <f t="shared" si="4"/>
        <v>0</v>
      </c>
      <c r="R24" s="35">
        <f t="shared" si="4"/>
        <v>0</v>
      </c>
      <c r="S24" s="35">
        <f t="shared" si="4"/>
        <v>0</v>
      </c>
      <c r="T24" s="35">
        <f t="shared" si="4"/>
        <v>0</v>
      </c>
      <c r="U24" s="35">
        <f t="shared" si="4"/>
        <v>0</v>
      </c>
      <c r="V24" s="35">
        <f t="shared" si="4"/>
        <v>0</v>
      </c>
      <c r="W24" s="35">
        <f t="shared" si="4"/>
        <v>0</v>
      </c>
      <c r="X24" s="35">
        <f t="shared" si="4"/>
        <v>0</v>
      </c>
      <c r="Y24" s="35">
        <f t="shared" si="4"/>
        <v>0</v>
      </c>
      <c r="Z24" s="35">
        <f t="shared" si="4"/>
        <v>0</v>
      </c>
    </row>
    <row r="25" spans="1:26" x14ac:dyDescent="0.25">
      <c r="A25" s="36" t="str">
        <f t="shared" si="3"/>
        <v>fev</v>
      </c>
      <c r="B25" s="10">
        <v>43838</v>
      </c>
      <c r="C25" s="33">
        <v>-4000</v>
      </c>
      <c r="D25" s="10">
        <v>43871</v>
      </c>
      <c r="E25" s="33">
        <v>-4000</v>
      </c>
      <c r="F25" s="7" t="s">
        <v>14</v>
      </c>
      <c r="G25" s="12">
        <v>6976576</v>
      </c>
      <c r="H25" s="12"/>
      <c r="I25" s="7" t="s">
        <v>55</v>
      </c>
      <c r="J25" s="8" t="s">
        <v>168</v>
      </c>
      <c r="L25" s="32">
        <f t="shared" si="6"/>
        <v>925</v>
      </c>
      <c r="M25" s="32">
        <f t="shared" si="7"/>
        <v>925</v>
      </c>
      <c r="O25" s="35">
        <f t="shared" si="5"/>
        <v>0</v>
      </c>
      <c r="P25" s="35">
        <f t="shared" si="4"/>
        <v>-4000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</row>
    <row r="26" spans="1:26" x14ac:dyDescent="0.25">
      <c r="A26" s="36" t="str">
        <f t="shared" si="3"/>
        <v>fev</v>
      </c>
      <c r="B26" s="10">
        <v>43838</v>
      </c>
      <c r="C26" s="33">
        <v>3500</v>
      </c>
      <c r="D26" s="10">
        <v>43876</v>
      </c>
      <c r="E26" s="33">
        <v>3500</v>
      </c>
      <c r="F26" s="7" t="s">
        <v>9</v>
      </c>
      <c r="G26" s="12"/>
      <c r="H26" s="12">
        <v>753492</v>
      </c>
      <c r="I26" s="7" t="s">
        <v>7</v>
      </c>
      <c r="J26" s="8" t="s">
        <v>158</v>
      </c>
      <c r="L26" s="32">
        <f t="shared" si="6"/>
        <v>4425</v>
      </c>
      <c r="M26" s="32">
        <f t="shared" si="7"/>
        <v>4425</v>
      </c>
      <c r="O26" s="35">
        <f t="shared" si="5"/>
        <v>0</v>
      </c>
      <c r="P26" s="35">
        <f t="shared" si="5"/>
        <v>3500</v>
      </c>
      <c r="Q26" s="35">
        <f t="shared" si="5"/>
        <v>0</v>
      </c>
      <c r="R26" s="35">
        <f t="shared" si="5"/>
        <v>0</v>
      </c>
      <c r="S26" s="35">
        <f t="shared" si="5"/>
        <v>0</v>
      </c>
      <c r="T26" s="35">
        <f t="shared" si="5"/>
        <v>0</v>
      </c>
      <c r="U26" s="35">
        <f t="shared" si="5"/>
        <v>0</v>
      </c>
      <c r="V26" s="35">
        <f t="shared" si="5"/>
        <v>0</v>
      </c>
      <c r="W26" s="35">
        <f t="shared" si="5"/>
        <v>0</v>
      </c>
      <c r="X26" s="35">
        <f t="shared" si="5"/>
        <v>0</v>
      </c>
      <c r="Y26" s="35">
        <f t="shared" si="5"/>
        <v>0</v>
      </c>
      <c r="Z26" s="35">
        <f t="shared" si="5"/>
        <v>0</v>
      </c>
    </row>
    <row r="27" spans="1:26" x14ac:dyDescent="0.25">
      <c r="B27" s="10">
        <f>B26+2</f>
        <v>43840</v>
      </c>
      <c r="C27" s="33">
        <v>-2209</v>
      </c>
      <c r="D27" s="10">
        <v>43841</v>
      </c>
      <c r="E27" s="33">
        <v>-2209</v>
      </c>
      <c r="F27" s="7" t="s">
        <v>9</v>
      </c>
      <c r="G27" s="12">
        <v>5455512</v>
      </c>
      <c r="H27" s="12"/>
      <c r="I27" s="7" t="s">
        <v>29</v>
      </c>
      <c r="J27" s="8"/>
      <c r="L27" s="32">
        <f t="shared" ref="L27:L90" si="8">C27+L26</f>
        <v>2216</v>
      </c>
      <c r="M27" s="32">
        <f t="shared" ref="M27:M90" si="9">E27+M26</f>
        <v>2216</v>
      </c>
      <c r="O27" s="35">
        <f t="shared" si="5"/>
        <v>-2209</v>
      </c>
      <c r="P27" s="35">
        <f t="shared" si="5"/>
        <v>0</v>
      </c>
      <c r="Q27" s="35">
        <f t="shared" si="5"/>
        <v>0</v>
      </c>
      <c r="R27" s="35">
        <f t="shared" si="5"/>
        <v>0</v>
      </c>
      <c r="S27" s="35">
        <f t="shared" si="5"/>
        <v>0</v>
      </c>
      <c r="T27" s="35">
        <f t="shared" si="5"/>
        <v>0</v>
      </c>
      <c r="U27" s="35">
        <f t="shared" si="5"/>
        <v>0</v>
      </c>
      <c r="V27" s="35">
        <f t="shared" si="5"/>
        <v>0</v>
      </c>
      <c r="W27" s="35">
        <f t="shared" si="5"/>
        <v>0</v>
      </c>
      <c r="X27" s="35">
        <f t="shared" si="5"/>
        <v>0</v>
      </c>
      <c r="Y27" s="35">
        <f t="shared" si="5"/>
        <v>0</v>
      </c>
      <c r="Z27" s="35">
        <f t="shared" si="5"/>
        <v>0</v>
      </c>
    </row>
    <row r="28" spans="1:26" x14ac:dyDescent="0.25">
      <c r="B28" s="10">
        <f t="shared" ref="B28:B91" si="10">B27+2</f>
        <v>43842</v>
      </c>
      <c r="C28" s="33">
        <v>-2713</v>
      </c>
      <c r="D28" s="10">
        <v>43845</v>
      </c>
      <c r="E28" s="33">
        <v>-2713</v>
      </c>
      <c r="F28" s="7" t="s">
        <v>16</v>
      </c>
      <c r="G28" s="12">
        <v>5645645</v>
      </c>
      <c r="H28" s="12"/>
      <c r="I28" s="7" t="s">
        <v>71</v>
      </c>
      <c r="J28" s="8"/>
      <c r="L28" s="32">
        <f t="shared" si="8"/>
        <v>-497</v>
      </c>
      <c r="M28" s="32">
        <f t="shared" si="9"/>
        <v>-497</v>
      </c>
      <c r="O28" s="35">
        <f t="shared" ref="O28:Z49" si="11">IF($D28="","",IF(MONTH($D28)=O$7,$E28,0))</f>
        <v>-2713</v>
      </c>
      <c r="P28" s="35">
        <f t="shared" si="11"/>
        <v>0</v>
      </c>
      <c r="Q28" s="35">
        <f t="shared" si="11"/>
        <v>0</v>
      </c>
      <c r="R28" s="35">
        <f t="shared" si="11"/>
        <v>0</v>
      </c>
      <c r="S28" s="35">
        <f t="shared" si="11"/>
        <v>0</v>
      </c>
      <c r="T28" s="35">
        <f t="shared" si="11"/>
        <v>0</v>
      </c>
      <c r="U28" s="35">
        <f t="shared" si="11"/>
        <v>0</v>
      </c>
      <c r="V28" s="35">
        <f t="shared" si="11"/>
        <v>0</v>
      </c>
      <c r="W28" s="35">
        <f t="shared" si="11"/>
        <v>0</v>
      </c>
      <c r="X28" s="35">
        <f t="shared" si="11"/>
        <v>0</v>
      </c>
      <c r="Y28" s="35">
        <f t="shared" si="11"/>
        <v>0</v>
      </c>
      <c r="Z28" s="35">
        <f t="shared" si="11"/>
        <v>0</v>
      </c>
    </row>
    <row r="29" spans="1:26" x14ac:dyDescent="0.25">
      <c r="B29" s="10">
        <f t="shared" si="10"/>
        <v>43844</v>
      </c>
      <c r="C29" s="33">
        <v>-2946</v>
      </c>
      <c r="D29" s="10">
        <v>43845</v>
      </c>
      <c r="E29" s="33">
        <v>-2946</v>
      </c>
      <c r="F29" s="7" t="s">
        <v>14</v>
      </c>
      <c r="G29" s="12">
        <v>5455512</v>
      </c>
      <c r="H29" s="12"/>
      <c r="I29" s="7" t="s">
        <v>33</v>
      </c>
      <c r="J29" s="8"/>
      <c r="L29" s="32">
        <f t="shared" si="8"/>
        <v>-3443</v>
      </c>
      <c r="M29" s="32">
        <f t="shared" si="9"/>
        <v>-3443</v>
      </c>
      <c r="O29" s="35">
        <f t="shared" si="11"/>
        <v>-2946</v>
      </c>
      <c r="P29" s="35">
        <f t="shared" si="11"/>
        <v>0</v>
      </c>
      <c r="Q29" s="35">
        <f t="shared" si="11"/>
        <v>0</v>
      </c>
      <c r="R29" s="35">
        <f t="shared" si="11"/>
        <v>0</v>
      </c>
      <c r="S29" s="35">
        <f t="shared" si="11"/>
        <v>0</v>
      </c>
      <c r="T29" s="35">
        <f t="shared" si="11"/>
        <v>0</v>
      </c>
      <c r="U29" s="35">
        <f t="shared" si="11"/>
        <v>0</v>
      </c>
      <c r="V29" s="35">
        <f t="shared" si="11"/>
        <v>0</v>
      </c>
      <c r="W29" s="35">
        <f t="shared" si="11"/>
        <v>0</v>
      </c>
      <c r="X29" s="35">
        <f t="shared" si="11"/>
        <v>0</v>
      </c>
      <c r="Y29" s="35">
        <f t="shared" si="11"/>
        <v>0</v>
      </c>
      <c r="Z29" s="35">
        <f t="shared" si="11"/>
        <v>0</v>
      </c>
    </row>
    <row r="30" spans="1:26" x14ac:dyDescent="0.25">
      <c r="B30" s="10">
        <f t="shared" si="10"/>
        <v>43846</v>
      </c>
      <c r="C30" s="33">
        <v>-3164</v>
      </c>
      <c r="D30" s="10">
        <v>43849</v>
      </c>
      <c r="E30" s="33">
        <v>-3164</v>
      </c>
      <c r="F30" s="7" t="s">
        <v>14</v>
      </c>
      <c r="G30" s="12">
        <v>5645645</v>
      </c>
      <c r="H30" s="12"/>
      <c r="I30" s="7" t="s">
        <v>35</v>
      </c>
      <c r="J30" s="8"/>
      <c r="L30" s="32">
        <f t="shared" si="8"/>
        <v>-6607</v>
      </c>
      <c r="M30" s="32">
        <f t="shared" si="9"/>
        <v>-6607</v>
      </c>
      <c r="O30" s="35">
        <f t="shared" si="11"/>
        <v>-3164</v>
      </c>
      <c r="P30" s="35">
        <f t="shared" si="11"/>
        <v>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</row>
    <row r="31" spans="1:26" x14ac:dyDescent="0.25">
      <c r="B31" s="10">
        <f t="shared" si="10"/>
        <v>43848</v>
      </c>
      <c r="C31" s="33">
        <v>-2037</v>
      </c>
      <c r="D31" s="10">
        <v>43849</v>
      </c>
      <c r="E31" s="33">
        <v>-2037</v>
      </c>
      <c r="F31" s="7" t="s">
        <v>14</v>
      </c>
      <c r="G31" s="12">
        <v>5835778</v>
      </c>
      <c r="H31" s="12"/>
      <c r="I31" s="7" t="s">
        <v>37</v>
      </c>
      <c r="J31" s="8"/>
      <c r="L31" s="32">
        <f t="shared" si="8"/>
        <v>-8644</v>
      </c>
      <c r="M31" s="32">
        <f t="shared" si="9"/>
        <v>-8644</v>
      </c>
      <c r="O31" s="35">
        <f t="shared" si="11"/>
        <v>-2037</v>
      </c>
      <c r="P31" s="35">
        <f t="shared" si="11"/>
        <v>0</v>
      </c>
      <c r="Q31" s="35">
        <f t="shared" si="11"/>
        <v>0</v>
      </c>
      <c r="R31" s="35">
        <f t="shared" si="11"/>
        <v>0</v>
      </c>
      <c r="S31" s="35">
        <f t="shared" si="11"/>
        <v>0</v>
      </c>
      <c r="T31" s="35">
        <f t="shared" si="11"/>
        <v>0</v>
      </c>
      <c r="U31" s="35">
        <f t="shared" si="11"/>
        <v>0</v>
      </c>
      <c r="V31" s="35">
        <f t="shared" si="11"/>
        <v>0</v>
      </c>
      <c r="W31" s="35">
        <f t="shared" si="11"/>
        <v>0</v>
      </c>
      <c r="X31" s="35">
        <f t="shared" si="11"/>
        <v>0</v>
      </c>
      <c r="Y31" s="35">
        <f t="shared" si="11"/>
        <v>0</v>
      </c>
      <c r="Z31" s="35">
        <f t="shared" si="11"/>
        <v>0</v>
      </c>
    </row>
    <row r="32" spans="1:26" x14ac:dyDescent="0.25">
      <c r="B32" s="10">
        <f t="shared" si="10"/>
        <v>43850</v>
      </c>
      <c r="C32" s="33">
        <v>14762</v>
      </c>
      <c r="D32" s="10">
        <v>43853</v>
      </c>
      <c r="E32" s="33">
        <v>14762</v>
      </c>
      <c r="F32" s="7" t="s">
        <v>14</v>
      </c>
      <c r="G32" s="12"/>
      <c r="H32" s="12">
        <v>446501</v>
      </c>
      <c r="I32" s="7" t="s">
        <v>7</v>
      </c>
      <c r="J32" s="8" t="s">
        <v>158</v>
      </c>
      <c r="L32" s="32">
        <f t="shared" si="8"/>
        <v>6118</v>
      </c>
      <c r="M32" s="32">
        <f t="shared" si="9"/>
        <v>6118</v>
      </c>
      <c r="O32" s="35">
        <f t="shared" si="11"/>
        <v>14762</v>
      </c>
      <c r="P32" s="35">
        <f t="shared" si="11"/>
        <v>0</v>
      </c>
      <c r="Q32" s="35">
        <f t="shared" si="11"/>
        <v>0</v>
      </c>
      <c r="R32" s="35">
        <f t="shared" si="11"/>
        <v>0</v>
      </c>
      <c r="S32" s="35">
        <f t="shared" si="11"/>
        <v>0</v>
      </c>
      <c r="T32" s="35">
        <f t="shared" si="11"/>
        <v>0</v>
      </c>
      <c r="U32" s="35">
        <f t="shared" si="11"/>
        <v>0</v>
      </c>
      <c r="V32" s="35">
        <f t="shared" si="11"/>
        <v>0</v>
      </c>
      <c r="W32" s="35">
        <f t="shared" si="11"/>
        <v>0</v>
      </c>
      <c r="X32" s="35">
        <f t="shared" si="11"/>
        <v>0</v>
      </c>
      <c r="Y32" s="35">
        <f t="shared" si="11"/>
        <v>0</v>
      </c>
      <c r="Z32" s="35">
        <f t="shared" si="11"/>
        <v>0</v>
      </c>
    </row>
    <row r="33" spans="2:26" x14ac:dyDescent="0.25">
      <c r="B33" s="10">
        <f t="shared" si="10"/>
        <v>43852</v>
      </c>
      <c r="C33" s="33">
        <v>11949</v>
      </c>
      <c r="D33" s="10">
        <v>43853</v>
      </c>
      <c r="E33" s="33">
        <v>11949</v>
      </c>
      <c r="F33" s="7" t="s">
        <v>14</v>
      </c>
      <c r="G33" s="12"/>
      <c r="H33" s="12">
        <v>436442</v>
      </c>
      <c r="I33" s="7" t="s">
        <v>10</v>
      </c>
      <c r="J33" s="8" t="s">
        <v>161</v>
      </c>
      <c r="L33" s="32">
        <f t="shared" si="8"/>
        <v>18067</v>
      </c>
      <c r="M33" s="32">
        <f t="shared" si="9"/>
        <v>18067</v>
      </c>
      <c r="O33" s="35">
        <f t="shared" si="11"/>
        <v>11949</v>
      </c>
      <c r="P33" s="35">
        <f t="shared" si="11"/>
        <v>0</v>
      </c>
      <c r="Q33" s="35">
        <f t="shared" si="11"/>
        <v>0</v>
      </c>
      <c r="R33" s="35">
        <f t="shared" si="11"/>
        <v>0</v>
      </c>
      <c r="S33" s="35">
        <f t="shared" si="11"/>
        <v>0</v>
      </c>
      <c r="T33" s="35">
        <f t="shared" si="11"/>
        <v>0</v>
      </c>
      <c r="U33" s="35">
        <f t="shared" si="11"/>
        <v>0</v>
      </c>
      <c r="V33" s="35">
        <f t="shared" si="11"/>
        <v>0</v>
      </c>
      <c r="W33" s="35">
        <f t="shared" si="11"/>
        <v>0</v>
      </c>
      <c r="X33" s="35">
        <f t="shared" si="11"/>
        <v>0</v>
      </c>
      <c r="Y33" s="35">
        <f t="shared" si="11"/>
        <v>0</v>
      </c>
      <c r="Z33" s="35">
        <f t="shared" si="11"/>
        <v>0</v>
      </c>
    </row>
    <row r="34" spans="2:26" x14ac:dyDescent="0.25">
      <c r="B34" s="10">
        <f t="shared" si="10"/>
        <v>43854</v>
      </c>
      <c r="C34" s="33">
        <v>14655</v>
      </c>
      <c r="D34" s="10">
        <v>43857</v>
      </c>
      <c r="E34" s="33">
        <v>14655</v>
      </c>
      <c r="F34" s="7" t="s">
        <v>16</v>
      </c>
      <c r="G34" s="12"/>
      <c r="H34" s="12">
        <v>526689</v>
      </c>
      <c r="I34" s="7" t="s">
        <v>103</v>
      </c>
      <c r="J34" s="8" t="s">
        <v>161</v>
      </c>
      <c r="L34" s="32">
        <f t="shared" si="8"/>
        <v>32722</v>
      </c>
      <c r="M34" s="32">
        <f t="shared" si="9"/>
        <v>32722</v>
      </c>
      <c r="O34" s="35">
        <f t="shared" si="11"/>
        <v>14655</v>
      </c>
      <c r="P34" s="35">
        <f t="shared" si="11"/>
        <v>0</v>
      </c>
      <c r="Q34" s="35">
        <f t="shared" si="11"/>
        <v>0</v>
      </c>
      <c r="R34" s="35">
        <f t="shared" si="11"/>
        <v>0</v>
      </c>
      <c r="S34" s="35">
        <f t="shared" si="11"/>
        <v>0</v>
      </c>
      <c r="T34" s="35">
        <f t="shared" si="11"/>
        <v>0</v>
      </c>
      <c r="U34" s="35">
        <f t="shared" si="11"/>
        <v>0</v>
      </c>
      <c r="V34" s="35">
        <f t="shared" si="11"/>
        <v>0</v>
      </c>
      <c r="W34" s="35">
        <f t="shared" si="11"/>
        <v>0</v>
      </c>
      <c r="X34" s="35">
        <f t="shared" si="11"/>
        <v>0</v>
      </c>
      <c r="Y34" s="35">
        <f t="shared" si="11"/>
        <v>0</v>
      </c>
      <c r="Z34" s="35">
        <f t="shared" si="11"/>
        <v>0</v>
      </c>
    </row>
    <row r="35" spans="2:26" x14ac:dyDescent="0.25">
      <c r="B35" s="10">
        <f t="shared" si="10"/>
        <v>43856</v>
      </c>
      <c r="C35" s="33">
        <v>7459</v>
      </c>
      <c r="D35" s="10">
        <v>43858</v>
      </c>
      <c r="E35" s="33">
        <v>7459</v>
      </c>
      <c r="F35" s="7" t="s">
        <v>16</v>
      </c>
      <c r="G35" s="12"/>
      <c r="H35" s="12">
        <v>718362</v>
      </c>
      <c r="I35" s="7" t="s">
        <v>7</v>
      </c>
      <c r="J35" s="8" t="s">
        <v>158</v>
      </c>
      <c r="L35" s="32">
        <f t="shared" si="8"/>
        <v>40181</v>
      </c>
      <c r="M35" s="32">
        <f t="shared" si="9"/>
        <v>40181</v>
      </c>
      <c r="O35" s="35">
        <f t="shared" si="11"/>
        <v>7459</v>
      </c>
      <c r="P35" s="35">
        <f t="shared" si="11"/>
        <v>0</v>
      </c>
      <c r="Q35" s="35">
        <f t="shared" si="11"/>
        <v>0</v>
      </c>
      <c r="R35" s="35">
        <f t="shared" si="11"/>
        <v>0</v>
      </c>
      <c r="S35" s="35">
        <f t="shared" si="11"/>
        <v>0</v>
      </c>
      <c r="T35" s="35">
        <f t="shared" si="11"/>
        <v>0</v>
      </c>
      <c r="U35" s="35">
        <f t="shared" si="11"/>
        <v>0</v>
      </c>
      <c r="V35" s="35">
        <f t="shared" si="11"/>
        <v>0</v>
      </c>
      <c r="W35" s="35">
        <f t="shared" si="11"/>
        <v>0</v>
      </c>
      <c r="X35" s="35">
        <f t="shared" si="11"/>
        <v>0</v>
      </c>
      <c r="Y35" s="35">
        <f t="shared" si="11"/>
        <v>0</v>
      </c>
      <c r="Z35" s="35">
        <f t="shared" si="11"/>
        <v>0</v>
      </c>
    </row>
    <row r="36" spans="2:26" x14ac:dyDescent="0.25">
      <c r="B36" s="10">
        <f t="shared" si="10"/>
        <v>43858</v>
      </c>
      <c r="C36" s="33">
        <v>-1889</v>
      </c>
      <c r="D36" s="10">
        <v>43861</v>
      </c>
      <c r="E36" s="33">
        <v>-1889</v>
      </c>
      <c r="F36" s="7" t="s">
        <v>6</v>
      </c>
      <c r="G36" s="12">
        <v>5835778</v>
      </c>
      <c r="H36" s="12"/>
      <c r="I36" s="7" t="s">
        <v>33</v>
      </c>
      <c r="J36" s="8"/>
      <c r="L36" s="32">
        <f t="shared" si="8"/>
        <v>38292</v>
      </c>
      <c r="M36" s="32">
        <f t="shared" si="9"/>
        <v>38292</v>
      </c>
      <c r="O36" s="35">
        <f t="shared" si="11"/>
        <v>-1889</v>
      </c>
      <c r="P36" s="35">
        <f t="shared" si="11"/>
        <v>0</v>
      </c>
      <c r="Q36" s="35">
        <f t="shared" si="11"/>
        <v>0</v>
      </c>
      <c r="R36" s="35">
        <f t="shared" si="11"/>
        <v>0</v>
      </c>
      <c r="S36" s="35">
        <f t="shared" si="11"/>
        <v>0</v>
      </c>
      <c r="T36" s="35">
        <f t="shared" si="11"/>
        <v>0</v>
      </c>
      <c r="U36" s="35">
        <f t="shared" si="11"/>
        <v>0</v>
      </c>
      <c r="V36" s="35">
        <f t="shared" si="11"/>
        <v>0</v>
      </c>
      <c r="W36" s="35">
        <f t="shared" si="11"/>
        <v>0</v>
      </c>
      <c r="X36" s="35">
        <f t="shared" si="11"/>
        <v>0</v>
      </c>
      <c r="Y36" s="35">
        <f t="shared" si="11"/>
        <v>0</v>
      </c>
      <c r="Z36" s="35">
        <f t="shared" si="11"/>
        <v>0</v>
      </c>
    </row>
    <row r="37" spans="2:26" x14ac:dyDescent="0.25">
      <c r="B37" s="10">
        <f t="shared" si="10"/>
        <v>43860</v>
      </c>
      <c r="C37" s="33">
        <v>-3004</v>
      </c>
      <c r="D37" s="10">
        <v>43862</v>
      </c>
      <c r="E37" s="33">
        <v>-3004</v>
      </c>
      <c r="F37" s="7" t="s">
        <v>9</v>
      </c>
      <c r="G37" s="12">
        <v>5911831.2000000002</v>
      </c>
      <c r="H37" s="12"/>
      <c r="I37" s="7" t="s">
        <v>69</v>
      </c>
      <c r="J37" s="8"/>
      <c r="L37" s="32">
        <f t="shared" si="8"/>
        <v>35288</v>
      </c>
      <c r="M37" s="32">
        <f t="shared" si="9"/>
        <v>35288</v>
      </c>
      <c r="O37" s="35">
        <f t="shared" si="11"/>
        <v>0</v>
      </c>
      <c r="P37" s="35">
        <f t="shared" si="11"/>
        <v>-3004</v>
      </c>
      <c r="Q37" s="35">
        <f t="shared" si="11"/>
        <v>0</v>
      </c>
      <c r="R37" s="35">
        <f t="shared" si="11"/>
        <v>0</v>
      </c>
      <c r="S37" s="35">
        <f t="shared" si="11"/>
        <v>0</v>
      </c>
      <c r="T37" s="35">
        <f t="shared" si="11"/>
        <v>0</v>
      </c>
      <c r="U37" s="35">
        <f t="shared" si="11"/>
        <v>0</v>
      </c>
      <c r="V37" s="35">
        <f t="shared" si="11"/>
        <v>0</v>
      </c>
      <c r="W37" s="35">
        <f t="shared" si="11"/>
        <v>0</v>
      </c>
      <c r="X37" s="35">
        <f t="shared" si="11"/>
        <v>0</v>
      </c>
      <c r="Y37" s="35">
        <f t="shared" si="11"/>
        <v>0</v>
      </c>
      <c r="Z37" s="35">
        <f t="shared" si="11"/>
        <v>0</v>
      </c>
    </row>
    <row r="38" spans="2:26" x14ac:dyDescent="0.25">
      <c r="B38" s="10">
        <f t="shared" si="10"/>
        <v>43862</v>
      </c>
      <c r="C38" s="33">
        <v>-1619</v>
      </c>
      <c r="D38" s="10">
        <v>43863</v>
      </c>
      <c r="E38" s="33">
        <v>-1619</v>
      </c>
      <c r="F38" s="7" t="s">
        <v>12</v>
      </c>
      <c r="G38" s="12">
        <v>5987884.4000000004</v>
      </c>
      <c r="H38" s="12"/>
      <c r="I38" s="7" t="s">
        <v>59</v>
      </c>
      <c r="J38" s="8"/>
      <c r="L38" s="32">
        <f t="shared" si="8"/>
        <v>33669</v>
      </c>
      <c r="M38" s="32">
        <f t="shared" si="9"/>
        <v>33669</v>
      </c>
      <c r="O38" s="35">
        <f t="shared" si="11"/>
        <v>0</v>
      </c>
      <c r="P38" s="35">
        <f t="shared" si="11"/>
        <v>-1619</v>
      </c>
      <c r="Q38" s="35">
        <f t="shared" si="11"/>
        <v>0</v>
      </c>
      <c r="R38" s="35">
        <f t="shared" si="11"/>
        <v>0</v>
      </c>
      <c r="S38" s="35">
        <f t="shared" si="11"/>
        <v>0</v>
      </c>
      <c r="T38" s="35">
        <f t="shared" si="11"/>
        <v>0</v>
      </c>
      <c r="U38" s="35">
        <f t="shared" si="11"/>
        <v>0</v>
      </c>
      <c r="V38" s="35">
        <f t="shared" si="11"/>
        <v>0</v>
      </c>
      <c r="W38" s="35">
        <f t="shared" si="11"/>
        <v>0</v>
      </c>
      <c r="X38" s="35">
        <f t="shared" si="11"/>
        <v>0</v>
      </c>
      <c r="Y38" s="35">
        <f t="shared" si="11"/>
        <v>0</v>
      </c>
      <c r="Z38" s="35">
        <f t="shared" si="11"/>
        <v>0</v>
      </c>
    </row>
    <row r="39" spans="2:26" x14ac:dyDescent="0.25">
      <c r="B39" s="10">
        <f t="shared" si="10"/>
        <v>43864</v>
      </c>
      <c r="C39" s="33">
        <v>-2306</v>
      </c>
      <c r="D39" s="10">
        <v>43866</v>
      </c>
      <c r="E39" s="33">
        <v>-2306</v>
      </c>
      <c r="F39" s="7" t="s">
        <v>14</v>
      </c>
      <c r="G39" s="12">
        <v>6063937.5999999996</v>
      </c>
      <c r="H39" s="12"/>
      <c r="I39" s="7" t="s">
        <v>65</v>
      </c>
      <c r="J39" s="8"/>
      <c r="L39" s="32">
        <f t="shared" si="8"/>
        <v>31363</v>
      </c>
      <c r="M39" s="32">
        <f t="shared" si="9"/>
        <v>31363</v>
      </c>
      <c r="O39" s="35">
        <f t="shared" si="11"/>
        <v>0</v>
      </c>
      <c r="P39" s="35">
        <f t="shared" si="11"/>
        <v>-2306</v>
      </c>
      <c r="Q39" s="35">
        <f t="shared" si="11"/>
        <v>0</v>
      </c>
      <c r="R39" s="35">
        <f t="shared" si="11"/>
        <v>0</v>
      </c>
      <c r="S39" s="35">
        <f t="shared" si="11"/>
        <v>0</v>
      </c>
      <c r="T39" s="35">
        <f t="shared" si="11"/>
        <v>0</v>
      </c>
      <c r="U39" s="35">
        <f t="shared" si="11"/>
        <v>0</v>
      </c>
      <c r="V39" s="35">
        <f t="shared" si="11"/>
        <v>0</v>
      </c>
      <c r="W39" s="35">
        <f t="shared" si="11"/>
        <v>0</v>
      </c>
      <c r="X39" s="35">
        <f t="shared" si="11"/>
        <v>0</v>
      </c>
      <c r="Y39" s="35">
        <f t="shared" si="11"/>
        <v>0</v>
      </c>
      <c r="Z39" s="35">
        <f t="shared" si="11"/>
        <v>0</v>
      </c>
    </row>
    <row r="40" spans="2:26" x14ac:dyDescent="0.25">
      <c r="B40" s="10">
        <f t="shared" si="10"/>
        <v>43866</v>
      </c>
      <c r="C40" s="33">
        <v>-474</v>
      </c>
      <c r="D40" s="10">
        <v>43868</v>
      </c>
      <c r="E40" s="33">
        <v>-474</v>
      </c>
      <c r="F40" s="7" t="s">
        <v>16</v>
      </c>
      <c r="G40" s="12">
        <v>6139990.7999999998</v>
      </c>
      <c r="H40" s="12"/>
      <c r="I40" s="7" t="s">
        <v>29</v>
      </c>
      <c r="J40" s="8"/>
      <c r="L40" s="32">
        <f t="shared" si="8"/>
        <v>30889</v>
      </c>
      <c r="M40" s="32">
        <f t="shared" si="9"/>
        <v>30889</v>
      </c>
      <c r="O40" s="35">
        <f t="shared" si="11"/>
        <v>0</v>
      </c>
      <c r="P40" s="35">
        <f t="shared" si="11"/>
        <v>-474</v>
      </c>
      <c r="Q40" s="35">
        <f t="shared" si="11"/>
        <v>0</v>
      </c>
      <c r="R40" s="35">
        <f t="shared" si="11"/>
        <v>0</v>
      </c>
      <c r="S40" s="35">
        <f t="shared" si="11"/>
        <v>0</v>
      </c>
      <c r="T40" s="35">
        <f t="shared" si="11"/>
        <v>0</v>
      </c>
      <c r="U40" s="35">
        <f t="shared" si="11"/>
        <v>0</v>
      </c>
      <c r="V40" s="35">
        <f t="shared" si="11"/>
        <v>0</v>
      </c>
      <c r="W40" s="35">
        <f t="shared" si="11"/>
        <v>0</v>
      </c>
      <c r="X40" s="35">
        <f t="shared" si="11"/>
        <v>0</v>
      </c>
      <c r="Y40" s="35">
        <f t="shared" si="11"/>
        <v>0</v>
      </c>
      <c r="Z40" s="35">
        <f t="shared" si="11"/>
        <v>0</v>
      </c>
    </row>
    <row r="41" spans="2:26" x14ac:dyDescent="0.25">
      <c r="B41" s="10">
        <f t="shared" si="10"/>
        <v>43868</v>
      </c>
      <c r="C41" s="33">
        <v>-50</v>
      </c>
      <c r="D41" s="10">
        <v>43870</v>
      </c>
      <c r="E41" s="33">
        <v>-50</v>
      </c>
      <c r="F41" s="7" t="s">
        <v>6</v>
      </c>
      <c r="G41" s="12">
        <v>6216044</v>
      </c>
      <c r="H41" s="12"/>
      <c r="I41" s="7" t="s">
        <v>29</v>
      </c>
      <c r="J41" s="8"/>
      <c r="L41" s="32">
        <f t="shared" si="8"/>
        <v>30839</v>
      </c>
      <c r="M41" s="32">
        <f t="shared" si="9"/>
        <v>30839</v>
      </c>
      <c r="O41" s="35">
        <f t="shared" si="11"/>
        <v>0</v>
      </c>
      <c r="P41" s="35">
        <f t="shared" si="11"/>
        <v>-50</v>
      </c>
      <c r="Q41" s="35">
        <f t="shared" si="11"/>
        <v>0</v>
      </c>
      <c r="R41" s="35">
        <f t="shared" si="11"/>
        <v>0</v>
      </c>
      <c r="S41" s="35">
        <f t="shared" si="11"/>
        <v>0</v>
      </c>
      <c r="T41" s="35">
        <f t="shared" si="11"/>
        <v>0</v>
      </c>
      <c r="U41" s="35">
        <f t="shared" si="11"/>
        <v>0</v>
      </c>
      <c r="V41" s="35">
        <f t="shared" si="11"/>
        <v>0</v>
      </c>
      <c r="W41" s="35">
        <f t="shared" si="11"/>
        <v>0</v>
      </c>
      <c r="X41" s="35">
        <f t="shared" si="11"/>
        <v>0</v>
      </c>
      <c r="Y41" s="35">
        <f t="shared" si="11"/>
        <v>0</v>
      </c>
      <c r="Z41" s="35">
        <f t="shared" si="11"/>
        <v>0</v>
      </c>
    </row>
    <row r="42" spans="2:26" x14ac:dyDescent="0.25">
      <c r="B42" s="10">
        <f t="shared" si="10"/>
        <v>43870</v>
      </c>
      <c r="C42" s="33">
        <v>-1106</v>
      </c>
      <c r="D42" s="10">
        <v>43872</v>
      </c>
      <c r="E42" s="33">
        <v>-1106</v>
      </c>
      <c r="F42" s="7" t="s">
        <v>9</v>
      </c>
      <c r="G42" s="12">
        <v>6292097.2000000002</v>
      </c>
      <c r="H42" s="12"/>
      <c r="I42" s="7" t="s">
        <v>55</v>
      </c>
      <c r="J42" s="8"/>
      <c r="L42" s="32">
        <f t="shared" si="8"/>
        <v>29733</v>
      </c>
      <c r="M42" s="32">
        <f t="shared" si="9"/>
        <v>29733</v>
      </c>
      <c r="O42" s="35">
        <f t="shared" si="11"/>
        <v>0</v>
      </c>
      <c r="P42" s="35">
        <f t="shared" si="11"/>
        <v>-1106</v>
      </c>
      <c r="Q42" s="35">
        <f t="shared" si="11"/>
        <v>0</v>
      </c>
      <c r="R42" s="35">
        <f t="shared" si="11"/>
        <v>0</v>
      </c>
      <c r="S42" s="35">
        <f t="shared" si="11"/>
        <v>0</v>
      </c>
      <c r="T42" s="35">
        <f t="shared" si="11"/>
        <v>0</v>
      </c>
      <c r="U42" s="35">
        <f t="shared" si="11"/>
        <v>0</v>
      </c>
      <c r="V42" s="35">
        <f t="shared" si="11"/>
        <v>0</v>
      </c>
      <c r="W42" s="35">
        <f t="shared" si="11"/>
        <v>0</v>
      </c>
      <c r="X42" s="35">
        <f t="shared" si="11"/>
        <v>0</v>
      </c>
      <c r="Y42" s="35">
        <f t="shared" si="11"/>
        <v>0</v>
      </c>
      <c r="Z42" s="35">
        <f t="shared" si="11"/>
        <v>0</v>
      </c>
    </row>
    <row r="43" spans="2:26" x14ac:dyDescent="0.25">
      <c r="B43" s="10">
        <f t="shared" si="10"/>
        <v>43872</v>
      </c>
      <c r="C43" s="33">
        <v>7846</v>
      </c>
      <c r="D43" s="10">
        <v>43875</v>
      </c>
      <c r="E43" s="33">
        <v>7846</v>
      </c>
      <c r="F43" s="7" t="s">
        <v>12</v>
      </c>
      <c r="G43" s="12"/>
      <c r="H43" s="12">
        <v>840043</v>
      </c>
      <c r="I43" s="7" t="s">
        <v>7</v>
      </c>
      <c r="J43" s="8" t="s">
        <v>161</v>
      </c>
      <c r="L43" s="32">
        <f t="shared" si="8"/>
        <v>37579</v>
      </c>
      <c r="M43" s="32">
        <f t="shared" si="9"/>
        <v>37579</v>
      </c>
      <c r="O43" s="35">
        <f t="shared" si="11"/>
        <v>0</v>
      </c>
      <c r="P43" s="35">
        <f t="shared" si="11"/>
        <v>7846</v>
      </c>
      <c r="Q43" s="35">
        <f t="shared" si="11"/>
        <v>0</v>
      </c>
      <c r="R43" s="35">
        <f t="shared" si="11"/>
        <v>0</v>
      </c>
      <c r="S43" s="35">
        <f t="shared" si="11"/>
        <v>0</v>
      </c>
      <c r="T43" s="35">
        <f t="shared" si="11"/>
        <v>0</v>
      </c>
      <c r="U43" s="35">
        <f t="shared" si="11"/>
        <v>0</v>
      </c>
      <c r="V43" s="35">
        <f t="shared" si="11"/>
        <v>0</v>
      </c>
      <c r="W43" s="35">
        <f t="shared" si="11"/>
        <v>0</v>
      </c>
      <c r="X43" s="35">
        <f t="shared" si="11"/>
        <v>0</v>
      </c>
      <c r="Y43" s="35">
        <f t="shared" si="11"/>
        <v>0</v>
      </c>
      <c r="Z43" s="35">
        <f t="shared" si="11"/>
        <v>0</v>
      </c>
    </row>
    <row r="44" spans="2:26" x14ac:dyDescent="0.25">
      <c r="B44" s="10">
        <f t="shared" si="10"/>
        <v>43874</v>
      </c>
      <c r="C44" s="33">
        <v>4731</v>
      </c>
      <c r="D44" s="10">
        <v>43876</v>
      </c>
      <c r="E44" s="33">
        <v>4731</v>
      </c>
      <c r="F44" s="7" t="s">
        <v>14</v>
      </c>
      <c r="G44" s="12"/>
      <c r="H44" s="12">
        <v>641495</v>
      </c>
      <c r="I44" s="7" t="s">
        <v>7</v>
      </c>
      <c r="J44" s="8" t="s">
        <v>158</v>
      </c>
      <c r="L44" s="32">
        <f t="shared" si="8"/>
        <v>42310</v>
      </c>
      <c r="M44" s="32">
        <f t="shared" si="9"/>
        <v>42310</v>
      </c>
      <c r="O44" s="35">
        <f t="shared" si="11"/>
        <v>0</v>
      </c>
      <c r="P44" s="35">
        <f t="shared" si="11"/>
        <v>4731</v>
      </c>
      <c r="Q44" s="35">
        <f t="shared" si="11"/>
        <v>0</v>
      </c>
      <c r="R44" s="35">
        <f t="shared" si="11"/>
        <v>0</v>
      </c>
      <c r="S44" s="35">
        <f t="shared" si="11"/>
        <v>0</v>
      </c>
      <c r="T44" s="35">
        <f t="shared" si="11"/>
        <v>0</v>
      </c>
      <c r="U44" s="35">
        <f t="shared" si="11"/>
        <v>0</v>
      </c>
      <c r="V44" s="35">
        <f t="shared" si="11"/>
        <v>0</v>
      </c>
      <c r="W44" s="35">
        <f t="shared" si="11"/>
        <v>0</v>
      </c>
      <c r="X44" s="35">
        <f t="shared" si="11"/>
        <v>0</v>
      </c>
      <c r="Y44" s="35">
        <f t="shared" si="11"/>
        <v>0</v>
      </c>
      <c r="Z44" s="35">
        <f t="shared" si="11"/>
        <v>0</v>
      </c>
    </row>
    <row r="45" spans="2:26" x14ac:dyDescent="0.25">
      <c r="B45" s="10">
        <f t="shared" si="10"/>
        <v>43876</v>
      </c>
      <c r="C45" s="33">
        <v>3812</v>
      </c>
      <c r="D45" s="10">
        <v>43878</v>
      </c>
      <c r="E45" s="33">
        <v>3812</v>
      </c>
      <c r="F45" s="7" t="s">
        <v>16</v>
      </c>
      <c r="G45" s="12"/>
      <c r="H45" s="12">
        <v>327592</v>
      </c>
      <c r="I45" s="7" t="s">
        <v>7</v>
      </c>
      <c r="J45" s="8" t="s">
        <v>158</v>
      </c>
      <c r="L45" s="32">
        <f t="shared" si="8"/>
        <v>46122</v>
      </c>
      <c r="M45" s="32">
        <f t="shared" si="9"/>
        <v>46122</v>
      </c>
      <c r="O45" s="35">
        <f t="shared" si="11"/>
        <v>0</v>
      </c>
      <c r="P45" s="35">
        <f t="shared" si="11"/>
        <v>3812</v>
      </c>
      <c r="Q45" s="35">
        <f t="shared" si="11"/>
        <v>0</v>
      </c>
      <c r="R45" s="35">
        <f t="shared" si="11"/>
        <v>0</v>
      </c>
      <c r="S45" s="35">
        <f t="shared" si="11"/>
        <v>0</v>
      </c>
      <c r="T45" s="35">
        <f t="shared" si="11"/>
        <v>0</v>
      </c>
      <c r="U45" s="35">
        <f t="shared" si="11"/>
        <v>0</v>
      </c>
      <c r="V45" s="35">
        <f t="shared" si="11"/>
        <v>0</v>
      </c>
      <c r="W45" s="35">
        <f t="shared" si="11"/>
        <v>0</v>
      </c>
      <c r="X45" s="35">
        <f t="shared" si="11"/>
        <v>0</v>
      </c>
      <c r="Y45" s="35">
        <f t="shared" si="11"/>
        <v>0</v>
      </c>
      <c r="Z45" s="35">
        <f t="shared" si="11"/>
        <v>0</v>
      </c>
    </row>
    <row r="46" spans="2:26" x14ac:dyDescent="0.25">
      <c r="B46" s="10">
        <f t="shared" si="10"/>
        <v>43878</v>
      </c>
      <c r="C46" s="33">
        <v>-30</v>
      </c>
      <c r="D46" s="10">
        <v>43881</v>
      </c>
      <c r="E46" s="33">
        <v>-30</v>
      </c>
      <c r="F46" s="7" t="s">
        <v>14</v>
      </c>
      <c r="G46" s="12">
        <v>6368150.4000000004</v>
      </c>
      <c r="H46" s="12"/>
      <c r="I46" s="7" t="s">
        <v>35</v>
      </c>
      <c r="J46" s="8"/>
      <c r="L46" s="32">
        <f t="shared" si="8"/>
        <v>46092</v>
      </c>
      <c r="M46" s="32">
        <f t="shared" si="9"/>
        <v>46092</v>
      </c>
      <c r="O46" s="35">
        <f t="shared" si="11"/>
        <v>0</v>
      </c>
      <c r="P46" s="35">
        <f t="shared" si="11"/>
        <v>-30</v>
      </c>
      <c r="Q46" s="35">
        <f t="shared" si="11"/>
        <v>0</v>
      </c>
      <c r="R46" s="35">
        <f t="shared" si="11"/>
        <v>0</v>
      </c>
      <c r="S46" s="35">
        <f t="shared" si="11"/>
        <v>0</v>
      </c>
      <c r="T46" s="35">
        <f t="shared" si="11"/>
        <v>0</v>
      </c>
      <c r="U46" s="35">
        <f t="shared" si="11"/>
        <v>0</v>
      </c>
      <c r="V46" s="35">
        <f t="shared" si="11"/>
        <v>0</v>
      </c>
      <c r="W46" s="35">
        <f t="shared" si="11"/>
        <v>0</v>
      </c>
      <c r="X46" s="35">
        <f t="shared" si="11"/>
        <v>0</v>
      </c>
      <c r="Y46" s="35">
        <f t="shared" si="11"/>
        <v>0</v>
      </c>
      <c r="Z46" s="35">
        <f t="shared" si="11"/>
        <v>0</v>
      </c>
    </row>
    <row r="47" spans="2:26" x14ac:dyDescent="0.25">
      <c r="B47" s="10">
        <f t="shared" si="10"/>
        <v>43880</v>
      </c>
      <c r="C47" s="33">
        <v>-230</v>
      </c>
      <c r="D47" s="10">
        <v>43881</v>
      </c>
      <c r="E47" s="33">
        <v>-230</v>
      </c>
      <c r="F47" s="7" t="s">
        <v>14</v>
      </c>
      <c r="G47" s="12">
        <v>6444203.5999999996</v>
      </c>
      <c r="H47" s="12"/>
      <c r="I47" s="7" t="s">
        <v>37</v>
      </c>
      <c r="J47" s="8"/>
      <c r="L47" s="32">
        <f t="shared" si="8"/>
        <v>45862</v>
      </c>
      <c r="M47" s="32">
        <f t="shared" si="9"/>
        <v>45862</v>
      </c>
      <c r="O47" s="35">
        <f t="shared" si="11"/>
        <v>0</v>
      </c>
      <c r="P47" s="35">
        <f t="shared" si="11"/>
        <v>-230</v>
      </c>
      <c r="Q47" s="35">
        <f t="shared" si="11"/>
        <v>0</v>
      </c>
      <c r="R47" s="35">
        <f t="shared" si="11"/>
        <v>0</v>
      </c>
      <c r="S47" s="35">
        <f t="shared" si="11"/>
        <v>0</v>
      </c>
      <c r="T47" s="35">
        <f t="shared" si="11"/>
        <v>0</v>
      </c>
      <c r="U47" s="35">
        <f t="shared" si="11"/>
        <v>0</v>
      </c>
      <c r="V47" s="35">
        <f t="shared" si="11"/>
        <v>0</v>
      </c>
      <c r="W47" s="35">
        <f t="shared" si="11"/>
        <v>0</v>
      </c>
      <c r="X47" s="35">
        <f t="shared" si="11"/>
        <v>0</v>
      </c>
      <c r="Y47" s="35">
        <f t="shared" si="11"/>
        <v>0</v>
      </c>
      <c r="Z47" s="35">
        <f t="shared" si="11"/>
        <v>0</v>
      </c>
    </row>
    <row r="48" spans="2:26" x14ac:dyDescent="0.25">
      <c r="B48" s="10">
        <f t="shared" si="10"/>
        <v>43882</v>
      </c>
      <c r="C48" s="33">
        <v>-606</v>
      </c>
      <c r="D48" s="10">
        <v>43885</v>
      </c>
      <c r="E48" s="33">
        <v>-606</v>
      </c>
      <c r="F48" s="7" t="s">
        <v>14</v>
      </c>
      <c r="G48" s="12">
        <v>6520256.7999999998</v>
      </c>
      <c r="H48" s="12"/>
      <c r="I48" s="7" t="s">
        <v>47</v>
      </c>
      <c r="J48" s="8"/>
      <c r="L48" s="32">
        <f t="shared" si="8"/>
        <v>45256</v>
      </c>
      <c r="M48" s="32">
        <f t="shared" si="9"/>
        <v>45256</v>
      </c>
      <c r="O48" s="35">
        <f t="shared" si="11"/>
        <v>0</v>
      </c>
      <c r="P48" s="35">
        <f t="shared" si="11"/>
        <v>-606</v>
      </c>
      <c r="Q48" s="35">
        <f t="shared" si="11"/>
        <v>0</v>
      </c>
      <c r="R48" s="35">
        <f t="shared" si="11"/>
        <v>0</v>
      </c>
      <c r="S48" s="35">
        <f t="shared" si="11"/>
        <v>0</v>
      </c>
      <c r="T48" s="35">
        <f t="shared" si="11"/>
        <v>0</v>
      </c>
      <c r="U48" s="35">
        <f t="shared" si="11"/>
        <v>0</v>
      </c>
      <c r="V48" s="35">
        <f t="shared" si="11"/>
        <v>0</v>
      </c>
      <c r="W48" s="35">
        <f t="shared" si="11"/>
        <v>0</v>
      </c>
      <c r="X48" s="35">
        <f t="shared" si="11"/>
        <v>0</v>
      </c>
      <c r="Y48" s="35">
        <f t="shared" si="11"/>
        <v>0</v>
      </c>
      <c r="Z48" s="35">
        <f t="shared" si="11"/>
        <v>0</v>
      </c>
    </row>
    <row r="49" spans="2:26" x14ac:dyDescent="0.25">
      <c r="B49" s="10">
        <f t="shared" si="10"/>
        <v>43884</v>
      </c>
      <c r="C49" s="33">
        <v>-846</v>
      </c>
      <c r="D49" s="10">
        <v>43886</v>
      </c>
      <c r="E49" s="33">
        <v>-846</v>
      </c>
      <c r="F49" s="7" t="s">
        <v>16</v>
      </c>
      <c r="G49" s="12">
        <v>6596310</v>
      </c>
      <c r="H49" s="12"/>
      <c r="I49" s="7" t="s">
        <v>49</v>
      </c>
      <c r="J49" s="8"/>
      <c r="L49" s="32">
        <f t="shared" si="8"/>
        <v>44410</v>
      </c>
      <c r="M49" s="32">
        <f t="shared" si="9"/>
        <v>44410</v>
      </c>
      <c r="O49" s="35">
        <f t="shared" si="11"/>
        <v>0</v>
      </c>
      <c r="P49" s="35">
        <f t="shared" si="11"/>
        <v>-846</v>
      </c>
      <c r="Q49" s="35">
        <f t="shared" si="11"/>
        <v>0</v>
      </c>
      <c r="R49" s="35">
        <f t="shared" ref="O49:Z70" si="12">IF($D49="","",IF(MONTH($D49)=R$7,$E49,0))</f>
        <v>0</v>
      </c>
      <c r="S49" s="35">
        <f t="shared" si="12"/>
        <v>0</v>
      </c>
      <c r="T49" s="35">
        <f t="shared" si="12"/>
        <v>0</v>
      </c>
      <c r="U49" s="35">
        <f t="shared" si="12"/>
        <v>0</v>
      </c>
      <c r="V49" s="35">
        <f t="shared" si="12"/>
        <v>0</v>
      </c>
      <c r="W49" s="35">
        <f t="shared" si="12"/>
        <v>0</v>
      </c>
      <c r="X49" s="35">
        <f t="shared" si="12"/>
        <v>0</v>
      </c>
      <c r="Y49" s="35">
        <f t="shared" si="12"/>
        <v>0</v>
      </c>
      <c r="Z49" s="35">
        <f t="shared" si="12"/>
        <v>0</v>
      </c>
    </row>
    <row r="50" spans="2:26" x14ac:dyDescent="0.25">
      <c r="B50" s="10">
        <f t="shared" si="10"/>
        <v>43886</v>
      </c>
      <c r="C50" s="33">
        <v>-2421</v>
      </c>
      <c r="D50" s="10">
        <v>43889</v>
      </c>
      <c r="E50" s="33">
        <v>-2421</v>
      </c>
      <c r="F50" s="7" t="s">
        <v>16</v>
      </c>
      <c r="G50" s="12">
        <v>6672363.2000000002</v>
      </c>
      <c r="H50" s="12"/>
      <c r="I50" s="7" t="s">
        <v>69</v>
      </c>
      <c r="J50" s="8"/>
      <c r="L50" s="32">
        <f t="shared" si="8"/>
        <v>41989</v>
      </c>
      <c r="M50" s="32">
        <f t="shared" si="9"/>
        <v>41989</v>
      </c>
      <c r="O50" s="35">
        <f t="shared" si="12"/>
        <v>0</v>
      </c>
      <c r="P50" s="35">
        <f t="shared" si="12"/>
        <v>-2421</v>
      </c>
      <c r="Q50" s="35">
        <f t="shared" si="12"/>
        <v>0</v>
      </c>
      <c r="R50" s="35">
        <f t="shared" si="12"/>
        <v>0</v>
      </c>
      <c r="S50" s="35">
        <f t="shared" si="12"/>
        <v>0</v>
      </c>
      <c r="T50" s="35">
        <f t="shared" si="12"/>
        <v>0</v>
      </c>
      <c r="U50" s="35">
        <f t="shared" si="12"/>
        <v>0</v>
      </c>
      <c r="V50" s="35">
        <f t="shared" si="12"/>
        <v>0</v>
      </c>
      <c r="W50" s="35">
        <f t="shared" si="12"/>
        <v>0</v>
      </c>
      <c r="X50" s="35">
        <f t="shared" si="12"/>
        <v>0</v>
      </c>
      <c r="Y50" s="35">
        <f t="shared" si="12"/>
        <v>0</v>
      </c>
      <c r="Z50" s="35">
        <f t="shared" si="12"/>
        <v>0</v>
      </c>
    </row>
    <row r="51" spans="2:26" x14ac:dyDescent="0.25">
      <c r="B51" s="10">
        <f t="shared" si="10"/>
        <v>43888</v>
      </c>
      <c r="C51" s="33">
        <v>-1806</v>
      </c>
      <c r="D51" s="10">
        <v>43890</v>
      </c>
      <c r="E51" s="33">
        <v>-1806</v>
      </c>
      <c r="F51" s="7" t="s">
        <v>12</v>
      </c>
      <c r="G51" s="12">
        <v>6748416.4000000004</v>
      </c>
      <c r="H51" s="12"/>
      <c r="I51" s="7" t="s">
        <v>35</v>
      </c>
      <c r="J51" s="8"/>
      <c r="L51" s="32">
        <f t="shared" si="8"/>
        <v>40183</v>
      </c>
      <c r="M51" s="32">
        <f t="shared" si="9"/>
        <v>40183</v>
      </c>
      <c r="O51" s="35">
        <f t="shared" si="12"/>
        <v>0</v>
      </c>
      <c r="P51" s="35">
        <f t="shared" si="12"/>
        <v>-1806</v>
      </c>
      <c r="Q51" s="35">
        <f t="shared" si="12"/>
        <v>0</v>
      </c>
      <c r="R51" s="35">
        <f t="shared" si="12"/>
        <v>0</v>
      </c>
      <c r="S51" s="35">
        <f t="shared" si="12"/>
        <v>0</v>
      </c>
      <c r="T51" s="35">
        <f t="shared" si="12"/>
        <v>0</v>
      </c>
      <c r="U51" s="35">
        <f t="shared" si="12"/>
        <v>0</v>
      </c>
      <c r="V51" s="35">
        <f t="shared" si="12"/>
        <v>0</v>
      </c>
      <c r="W51" s="35">
        <f t="shared" si="12"/>
        <v>0</v>
      </c>
      <c r="X51" s="35">
        <f t="shared" si="12"/>
        <v>0</v>
      </c>
      <c r="Y51" s="35">
        <f t="shared" si="12"/>
        <v>0</v>
      </c>
      <c r="Z51" s="35">
        <f t="shared" si="12"/>
        <v>0</v>
      </c>
    </row>
    <row r="52" spans="2:26" x14ac:dyDescent="0.25">
      <c r="B52" s="10">
        <f t="shared" si="10"/>
        <v>43890</v>
      </c>
      <c r="C52" s="33">
        <v>8451</v>
      </c>
      <c r="D52" s="10">
        <v>43892</v>
      </c>
      <c r="E52" s="33">
        <v>8451</v>
      </c>
      <c r="F52" s="7" t="s">
        <v>14</v>
      </c>
      <c r="G52" s="12"/>
      <c r="H52" s="12">
        <v>349911</v>
      </c>
      <c r="I52" s="7" t="s">
        <v>7</v>
      </c>
      <c r="J52" s="8" t="s">
        <v>161</v>
      </c>
      <c r="L52" s="32">
        <f t="shared" si="8"/>
        <v>48634</v>
      </c>
      <c r="M52" s="32">
        <f t="shared" si="9"/>
        <v>48634</v>
      </c>
      <c r="O52" s="35">
        <f t="shared" si="12"/>
        <v>0</v>
      </c>
      <c r="P52" s="35">
        <f t="shared" si="12"/>
        <v>0</v>
      </c>
      <c r="Q52" s="35">
        <f t="shared" si="12"/>
        <v>8451</v>
      </c>
      <c r="R52" s="35">
        <f t="shared" si="12"/>
        <v>0</v>
      </c>
      <c r="S52" s="35">
        <f t="shared" si="12"/>
        <v>0</v>
      </c>
      <c r="T52" s="35">
        <f t="shared" si="12"/>
        <v>0</v>
      </c>
      <c r="U52" s="35">
        <f t="shared" si="12"/>
        <v>0</v>
      </c>
      <c r="V52" s="35">
        <f t="shared" si="12"/>
        <v>0</v>
      </c>
      <c r="W52" s="35">
        <f t="shared" si="12"/>
        <v>0</v>
      </c>
      <c r="X52" s="35">
        <f t="shared" si="12"/>
        <v>0</v>
      </c>
      <c r="Y52" s="35">
        <f t="shared" si="12"/>
        <v>0</v>
      </c>
      <c r="Z52" s="35">
        <f t="shared" si="12"/>
        <v>0</v>
      </c>
    </row>
    <row r="53" spans="2:26" x14ac:dyDescent="0.25">
      <c r="B53" s="10">
        <f t="shared" si="10"/>
        <v>43892</v>
      </c>
      <c r="C53" s="33">
        <v>13338</v>
      </c>
      <c r="D53" s="10">
        <v>43895</v>
      </c>
      <c r="E53" s="33">
        <v>13338</v>
      </c>
      <c r="F53" s="7" t="s">
        <v>16</v>
      </c>
      <c r="G53" s="12"/>
      <c r="H53" s="12">
        <v>148050</v>
      </c>
      <c r="I53" s="7" t="s">
        <v>103</v>
      </c>
      <c r="J53" s="8" t="s">
        <v>158</v>
      </c>
      <c r="L53" s="32">
        <f t="shared" si="8"/>
        <v>61972</v>
      </c>
      <c r="M53" s="32">
        <f t="shared" si="9"/>
        <v>61972</v>
      </c>
      <c r="O53" s="35">
        <f t="shared" si="12"/>
        <v>0</v>
      </c>
      <c r="P53" s="35">
        <f t="shared" si="12"/>
        <v>0</v>
      </c>
      <c r="Q53" s="35">
        <f t="shared" si="12"/>
        <v>13338</v>
      </c>
      <c r="R53" s="35">
        <f t="shared" si="12"/>
        <v>0</v>
      </c>
      <c r="S53" s="35">
        <f t="shared" si="12"/>
        <v>0</v>
      </c>
      <c r="T53" s="35">
        <f t="shared" si="12"/>
        <v>0</v>
      </c>
      <c r="U53" s="35">
        <f t="shared" si="12"/>
        <v>0</v>
      </c>
      <c r="V53" s="35">
        <f t="shared" si="12"/>
        <v>0</v>
      </c>
      <c r="W53" s="35">
        <f t="shared" si="12"/>
        <v>0</v>
      </c>
      <c r="X53" s="35">
        <f t="shared" si="12"/>
        <v>0</v>
      </c>
      <c r="Y53" s="35">
        <f t="shared" si="12"/>
        <v>0</v>
      </c>
      <c r="Z53" s="35">
        <f t="shared" si="12"/>
        <v>0</v>
      </c>
    </row>
    <row r="54" spans="2:26" x14ac:dyDescent="0.25">
      <c r="B54" s="10">
        <f t="shared" si="10"/>
        <v>43894</v>
      </c>
      <c r="C54" s="33">
        <v>6415</v>
      </c>
      <c r="D54" s="10">
        <v>43896</v>
      </c>
      <c r="E54" s="33">
        <v>6415</v>
      </c>
      <c r="F54" s="7" t="s">
        <v>14</v>
      </c>
      <c r="G54" s="12"/>
      <c r="H54" s="12">
        <v>703210</v>
      </c>
      <c r="I54" s="7" t="s">
        <v>103</v>
      </c>
      <c r="J54" s="8" t="s">
        <v>158</v>
      </c>
      <c r="L54" s="32">
        <f t="shared" si="8"/>
        <v>68387</v>
      </c>
      <c r="M54" s="32">
        <f t="shared" si="9"/>
        <v>68387</v>
      </c>
      <c r="O54" s="35">
        <f t="shared" si="12"/>
        <v>0</v>
      </c>
      <c r="P54" s="35">
        <f t="shared" si="12"/>
        <v>0</v>
      </c>
      <c r="Q54" s="35">
        <f t="shared" si="12"/>
        <v>6415</v>
      </c>
      <c r="R54" s="35">
        <f t="shared" si="12"/>
        <v>0</v>
      </c>
      <c r="S54" s="35">
        <f t="shared" si="12"/>
        <v>0</v>
      </c>
      <c r="T54" s="35">
        <f t="shared" si="12"/>
        <v>0</v>
      </c>
      <c r="U54" s="35">
        <f t="shared" si="12"/>
        <v>0</v>
      </c>
      <c r="V54" s="35">
        <f t="shared" si="12"/>
        <v>0</v>
      </c>
      <c r="W54" s="35">
        <f t="shared" si="12"/>
        <v>0</v>
      </c>
      <c r="X54" s="35">
        <f t="shared" si="12"/>
        <v>0</v>
      </c>
      <c r="Y54" s="35">
        <f t="shared" si="12"/>
        <v>0</v>
      </c>
      <c r="Z54" s="35">
        <f t="shared" si="12"/>
        <v>0</v>
      </c>
    </row>
    <row r="55" spans="2:26" x14ac:dyDescent="0.25">
      <c r="B55" s="10">
        <f t="shared" si="10"/>
        <v>43896</v>
      </c>
      <c r="C55" s="33">
        <v>-2634</v>
      </c>
      <c r="D55" s="10">
        <v>43898</v>
      </c>
      <c r="E55" s="33">
        <v>-2634</v>
      </c>
      <c r="F55" s="7" t="s">
        <v>14</v>
      </c>
      <c r="G55" s="12">
        <v>6824469.5999999996</v>
      </c>
      <c r="H55" s="12"/>
      <c r="I55" s="7" t="s">
        <v>43</v>
      </c>
      <c r="J55" s="8"/>
      <c r="L55" s="32">
        <f t="shared" si="8"/>
        <v>65753</v>
      </c>
      <c r="M55" s="32">
        <f t="shared" si="9"/>
        <v>65753</v>
      </c>
      <c r="O55" s="35">
        <f t="shared" si="12"/>
        <v>0</v>
      </c>
      <c r="P55" s="35">
        <f t="shared" si="12"/>
        <v>0</v>
      </c>
      <c r="Q55" s="35">
        <f t="shared" si="12"/>
        <v>-2634</v>
      </c>
      <c r="R55" s="35">
        <f t="shared" si="12"/>
        <v>0</v>
      </c>
      <c r="S55" s="35">
        <f t="shared" si="12"/>
        <v>0</v>
      </c>
      <c r="T55" s="35">
        <f t="shared" si="12"/>
        <v>0</v>
      </c>
      <c r="U55" s="35">
        <f t="shared" si="12"/>
        <v>0</v>
      </c>
      <c r="V55" s="35">
        <f t="shared" si="12"/>
        <v>0</v>
      </c>
      <c r="W55" s="35">
        <f t="shared" si="12"/>
        <v>0</v>
      </c>
      <c r="X55" s="35">
        <f t="shared" si="12"/>
        <v>0</v>
      </c>
      <c r="Y55" s="35">
        <f t="shared" si="12"/>
        <v>0</v>
      </c>
      <c r="Z55" s="35">
        <f t="shared" si="12"/>
        <v>0</v>
      </c>
    </row>
    <row r="56" spans="2:26" x14ac:dyDescent="0.25">
      <c r="B56" s="10">
        <f t="shared" si="10"/>
        <v>43898</v>
      </c>
      <c r="C56" s="33">
        <v>-1358</v>
      </c>
      <c r="D56" s="10">
        <v>43900</v>
      </c>
      <c r="E56" s="33">
        <v>-1358</v>
      </c>
      <c r="F56" s="7" t="s">
        <v>14</v>
      </c>
      <c r="G56" s="12">
        <v>6900522.7999999998</v>
      </c>
      <c r="H56" s="12"/>
      <c r="I56" s="7" t="s">
        <v>55</v>
      </c>
      <c r="J56" s="8"/>
      <c r="L56" s="32">
        <f t="shared" si="8"/>
        <v>64395</v>
      </c>
      <c r="M56" s="32">
        <f t="shared" si="9"/>
        <v>64395</v>
      </c>
      <c r="O56" s="35">
        <f t="shared" si="12"/>
        <v>0</v>
      </c>
      <c r="P56" s="35">
        <f t="shared" si="12"/>
        <v>0</v>
      </c>
      <c r="Q56" s="35">
        <f t="shared" si="12"/>
        <v>-1358</v>
      </c>
      <c r="R56" s="35">
        <f t="shared" si="12"/>
        <v>0</v>
      </c>
      <c r="S56" s="35">
        <f t="shared" si="12"/>
        <v>0</v>
      </c>
      <c r="T56" s="35">
        <f t="shared" si="12"/>
        <v>0</v>
      </c>
      <c r="U56" s="35">
        <f t="shared" si="12"/>
        <v>0</v>
      </c>
      <c r="V56" s="35">
        <f t="shared" si="12"/>
        <v>0</v>
      </c>
      <c r="W56" s="35">
        <f t="shared" si="12"/>
        <v>0</v>
      </c>
      <c r="X56" s="35">
        <f t="shared" si="12"/>
        <v>0</v>
      </c>
      <c r="Y56" s="35">
        <f t="shared" si="12"/>
        <v>0</v>
      </c>
      <c r="Z56" s="35">
        <f t="shared" si="12"/>
        <v>0</v>
      </c>
    </row>
    <row r="57" spans="2:26" x14ac:dyDescent="0.25">
      <c r="B57" s="10">
        <f t="shared" si="10"/>
        <v>43900</v>
      </c>
      <c r="C57" s="33">
        <v>10267</v>
      </c>
      <c r="D57" s="10">
        <v>43901</v>
      </c>
      <c r="E57" s="33">
        <v>10267</v>
      </c>
      <c r="F57" s="7" t="s">
        <v>16</v>
      </c>
      <c r="G57" s="12"/>
      <c r="H57" s="12">
        <v>373054</v>
      </c>
      <c r="I57" s="7" t="s">
        <v>10</v>
      </c>
      <c r="J57" s="8" t="s">
        <v>158</v>
      </c>
      <c r="L57" s="32">
        <f t="shared" si="8"/>
        <v>74662</v>
      </c>
      <c r="M57" s="32">
        <f t="shared" si="9"/>
        <v>74662</v>
      </c>
      <c r="O57" s="35">
        <f t="shared" si="12"/>
        <v>0</v>
      </c>
      <c r="P57" s="35">
        <f t="shared" si="12"/>
        <v>0</v>
      </c>
      <c r="Q57" s="35">
        <f t="shared" si="12"/>
        <v>10267</v>
      </c>
      <c r="R57" s="35">
        <f t="shared" si="12"/>
        <v>0</v>
      </c>
      <c r="S57" s="35">
        <f t="shared" si="12"/>
        <v>0</v>
      </c>
      <c r="T57" s="35">
        <f t="shared" si="12"/>
        <v>0</v>
      </c>
      <c r="U57" s="35">
        <f t="shared" si="12"/>
        <v>0</v>
      </c>
      <c r="V57" s="35">
        <f t="shared" si="12"/>
        <v>0</v>
      </c>
      <c r="W57" s="35">
        <f t="shared" si="12"/>
        <v>0</v>
      </c>
      <c r="X57" s="35">
        <f t="shared" si="12"/>
        <v>0</v>
      </c>
      <c r="Y57" s="35">
        <f t="shared" si="12"/>
        <v>0</v>
      </c>
      <c r="Z57" s="35">
        <f t="shared" si="12"/>
        <v>0</v>
      </c>
    </row>
    <row r="58" spans="2:26" x14ac:dyDescent="0.25">
      <c r="B58" s="10">
        <f t="shared" si="10"/>
        <v>43902</v>
      </c>
      <c r="C58" s="33">
        <v>-1980</v>
      </c>
      <c r="D58" s="10">
        <v>43904</v>
      </c>
      <c r="E58" s="33">
        <v>-1980</v>
      </c>
      <c r="F58" s="7" t="s">
        <v>16</v>
      </c>
      <c r="G58" s="12">
        <v>6976576</v>
      </c>
      <c r="H58" s="12"/>
      <c r="I58" s="7" t="s">
        <v>37</v>
      </c>
      <c r="J58" s="8"/>
      <c r="L58" s="32">
        <f t="shared" si="8"/>
        <v>72682</v>
      </c>
      <c r="M58" s="32">
        <f t="shared" si="9"/>
        <v>72682</v>
      </c>
      <c r="O58" s="35">
        <f t="shared" si="12"/>
        <v>0</v>
      </c>
      <c r="P58" s="35">
        <f t="shared" si="12"/>
        <v>0</v>
      </c>
      <c r="Q58" s="35">
        <f t="shared" si="12"/>
        <v>-1980</v>
      </c>
      <c r="R58" s="35">
        <f t="shared" si="12"/>
        <v>0</v>
      </c>
      <c r="S58" s="35">
        <f t="shared" si="12"/>
        <v>0</v>
      </c>
      <c r="T58" s="35">
        <f t="shared" si="12"/>
        <v>0</v>
      </c>
      <c r="U58" s="35">
        <f t="shared" si="12"/>
        <v>0</v>
      </c>
      <c r="V58" s="35">
        <f t="shared" si="12"/>
        <v>0</v>
      </c>
      <c r="W58" s="35">
        <f t="shared" si="12"/>
        <v>0</v>
      </c>
      <c r="X58" s="35">
        <f t="shared" si="12"/>
        <v>0</v>
      </c>
      <c r="Y58" s="35">
        <f t="shared" si="12"/>
        <v>0</v>
      </c>
      <c r="Z58" s="35">
        <f t="shared" si="12"/>
        <v>0</v>
      </c>
    </row>
    <row r="59" spans="2:26" x14ac:dyDescent="0.25">
      <c r="B59" s="10">
        <f t="shared" si="10"/>
        <v>43904</v>
      </c>
      <c r="C59" s="33">
        <v>-2302</v>
      </c>
      <c r="D59" s="10">
        <v>43905</v>
      </c>
      <c r="E59" s="33">
        <v>-2302</v>
      </c>
      <c r="F59" s="7" t="s">
        <v>14</v>
      </c>
      <c r="G59" s="12">
        <v>7052629.2000000002</v>
      </c>
      <c r="H59" s="12"/>
      <c r="I59" s="7" t="s">
        <v>71</v>
      </c>
      <c r="J59" s="8"/>
      <c r="L59" s="32">
        <f t="shared" si="8"/>
        <v>70380</v>
      </c>
      <c r="M59" s="32">
        <f t="shared" si="9"/>
        <v>70380</v>
      </c>
      <c r="O59" s="35">
        <f t="shared" si="12"/>
        <v>0</v>
      </c>
      <c r="P59" s="35">
        <f t="shared" si="12"/>
        <v>0</v>
      </c>
      <c r="Q59" s="35">
        <f t="shared" si="12"/>
        <v>-2302</v>
      </c>
      <c r="R59" s="35">
        <f t="shared" si="12"/>
        <v>0</v>
      </c>
      <c r="S59" s="35">
        <f t="shared" si="12"/>
        <v>0</v>
      </c>
      <c r="T59" s="35">
        <f t="shared" si="12"/>
        <v>0</v>
      </c>
      <c r="U59" s="35">
        <f t="shared" si="12"/>
        <v>0</v>
      </c>
      <c r="V59" s="35">
        <f t="shared" si="12"/>
        <v>0</v>
      </c>
      <c r="W59" s="35">
        <f t="shared" si="12"/>
        <v>0</v>
      </c>
      <c r="X59" s="35">
        <f t="shared" si="12"/>
        <v>0</v>
      </c>
      <c r="Y59" s="35">
        <f t="shared" si="12"/>
        <v>0</v>
      </c>
      <c r="Z59" s="35">
        <f t="shared" si="12"/>
        <v>0</v>
      </c>
    </row>
    <row r="60" spans="2:26" x14ac:dyDescent="0.25">
      <c r="B60" s="10">
        <f t="shared" si="10"/>
        <v>43906</v>
      </c>
      <c r="C60" s="33">
        <v>-1735</v>
      </c>
      <c r="D60" s="10">
        <v>43908</v>
      </c>
      <c r="E60" s="33">
        <v>-1735</v>
      </c>
      <c r="F60" s="7" t="s">
        <v>16</v>
      </c>
      <c r="G60" s="12">
        <v>7128682.4000000004</v>
      </c>
      <c r="H60" s="12"/>
      <c r="I60" s="7" t="s">
        <v>49</v>
      </c>
      <c r="J60" s="8"/>
      <c r="L60" s="32">
        <f t="shared" si="8"/>
        <v>68645</v>
      </c>
      <c r="M60" s="32">
        <f t="shared" si="9"/>
        <v>68645</v>
      </c>
      <c r="O60" s="35">
        <f t="shared" si="12"/>
        <v>0</v>
      </c>
      <c r="P60" s="35">
        <f t="shared" si="12"/>
        <v>0</v>
      </c>
      <c r="Q60" s="35">
        <f t="shared" si="12"/>
        <v>-1735</v>
      </c>
      <c r="R60" s="35">
        <f t="shared" si="12"/>
        <v>0</v>
      </c>
      <c r="S60" s="35">
        <f t="shared" si="12"/>
        <v>0</v>
      </c>
      <c r="T60" s="35">
        <f t="shared" si="12"/>
        <v>0</v>
      </c>
      <c r="U60" s="35">
        <f t="shared" si="12"/>
        <v>0</v>
      </c>
      <c r="V60" s="35">
        <f t="shared" si="12"/>
        <v>0</v>
      </c>
      <c r="W60" s="35">
        <f t="shared" si="12"/>
        <v>0</v>
      </c>
      <c r="X60" s="35">
        <f t="shared" si="12"/>
        <v>0</v>
      </c>
      <c r="Y60" s="35">
        <f t="shared" si="12"/>
        <v>0</v>
      </c>
      <c r="Z60" s="35">
        <f t="shared" si="12"/>
        <v>0</v>
      </c>
    </row>
    <row r="61" spans="2:26" x14ac:dyDescent="0.25">
      <c r="B61" s="10">
        <f t="shared" si="10"/>
        <v>43908</v>
      </c>
      <c r="C61" s="33">
        <v>-1380</v>
      </c>
      <c r="D61" s="10">
        <v>43911</v>
      </c>
      <c r="E61" s="33">
        <v>-1380</v>
      </c>
      <c r="F61" s="7" t="s">
        <v>12</v>
      </c>
      <c r="G61" s="12">
        <v>7204735.5999999996</v>
      </c>
      <c r="H61" s="12"/>
      <c r="I61" s="7" t="s">
        <v>55</v>
      </c>
      <c r="J61" s="8"/>
      <c r="L61" s="32">
        <f t="shared" si="8"/>
        <v>67265</v>
      </c>
      <c r="M61" s="32">
        <f t="shared" si="9"/>
        <v>67265</v>
      </c>
      <c r="O61" s="35">
        <f t="shared" si="12"/>
        <v>0</v>
      </c>
      <c r="P61" s="35">
        <f t="shared" si="12"/>
        <v>0</v>
      </c>
      <c r="Q61" s="35">
        <f t="shared" si="12"/>
        <v>-1380</v>
      </c>
      <c r="R61" s="35">
        <f t="shared" si="12"/>
        <v>0</v>
      </c>
      <c r="S61" s="35">
        <f t="shared" si="12"/>
        <v>0</v>
      </c>
      <c r="T61" s="35">
        <f t="shared" si="12"/>
        <v>0</v>
      </c>
      <c r="U61" s="35">
        <f t="shared" si="12"/>
        <v>0</v>
      </c>
      <c r="V61" s="35">
        <f t="shared" si="12"/>
        <v>0</v>
      </c>
      <c r="W61" s="35">
        <f t="shared" si="12"/>
        <v>0</v>
      </c>
      <c r="X61" s="35">
        <f t="shared" si="12"/>
        <v>0</v>
      </c>
      <c r="Y61" s="35">
        <f t="shared" si="12"/>
        <v>0</v>
      </c>
      <c r="Z61" s="35">
        <f t="shared" si="12"/>
        <v>0</v>
      </c>
    </row>
    <row r="62" spans="2:26" x14ac:dyDescent="0.25">
      <c r="B62" s="10">
        <f t="shared" si="10"/>
        <v>43910</v>
      </c>
      <c r="C62" s="33">
        <v>-1556</v>
      </c>
      <c r="D62" s="10">
        <v>43913</v>
      </c>
      <c r="E62" s="33">
        <v>-1556</v>
      </c>
      <c r="F62" s="7" t="s">
        <v>14</v>
      </c>
      <c r="G62" s="12">
        <v>7280788.7999999998</v>
      </c>
      <c r="H62" s="12"/>
      <c r="I62" s="7" t="s">
        <v>35</v>
      </c>
      <c r="J62" s="8"/>
      <c r="L62" s="32">
        <f t="shared" si="8"/>
        <v>65709</v>
      </c>
      <c r="M62" s="32">
        <f t="shared" si="9"/>
        <v>65709</v>
      </c>
      <c r="O62" s="35">
        <f t="shared" si="12"/>
        <v>0</v>
      </c>
      <c r="P62" s="35">
        <f t="shared" si="12"/>
        <v>0</v>
      </c>
      <c r="Q62" s="35">
        <f t="shared" si="12"/>
        <v>-1556</v>
      </c>
      <c r="R62" s="35">
        <f t="shared" si="12"/>
        <v>0</v>
      </c>
      <c r="S62" s="35">
        <f t="shared" si="12"/>
        <v>0</v>
      </c>
      <c r="T62" s="35">
        <f t="shared" si="12"/>
        <v>0</v>
      </c>
      <c r="U62" s="35">
        <f t="shared" si="12"/>
        <v>0</v>
      </c>
      <c r="V62" s="35">
        <f t="shared" si="12"/>
        <v>0</v>
      </c>
      <c r="W62" s="35">
        <f t="shared" si="12"/>
        <v>0</v>
      </c>
      <c r="X62" s="35">
        <f t="shared" si="12"/>
        <v>0</v>
      </c>
      <c r="Y62" s="35">
        <f t="shared" si="12"/>
        <v>0</v>
      </c>
      <c r="Z62" s="35">
        <f t="shared" si="12"/>
        <v>0</v>
      </c>
    </row>
    <row r="63" spans="2:26" x14ac:dyDescent="0.25">
      <c r="B63" s="10">
        <f t="shared" si="10"/>
        <v>43912</v>
      </c>
      <c r="C63" s="33">
        <v>8534</v>
      </c>
      <c r="D63" s="10">
        <v>43913</v>
      </c>
      <c r="E63" s="33">
        <v>8534</v>
      </c>
      <c r="F63" s="7" t="s">
        <v>16</v>
      </c>
      <c r="G63" s="12"/>
      <c r="H63" s="12">
        <v>119538</v>
      </c>
      <c r="I63" s="7" t="s">
        <v>103</v>
      </c>
      <c r="J63" s="8" t="s">
        <v>161</v>
      </c>
      <c r="L63" s="32">
        <f t="shared" si="8"/>
        <v>74243</v>
      </c>
      <c r="M63" s="32">
        <f t="shared" si="9"/>
        <v>74243</v>
      </c>
      <c r="O63" s="35">
        <f t="shared" si="12"/>
        <v>0</v>
      </c>
      <c r="P63" s="35">
        <f t="shared" si="12"/>
        <v>0</v>
      </c>
      <c r="Q63" s="35">
        <f t="shared" si="12"/>
        <v>8534</v>
      </c>
      <c r="R63" s="35">
        <f t="shared" si="12"/>
        <v>0</v>
      </c>
      <c r="S63" s="35">
        <f t="shared" si="12"/>
        <v>0</v>
      </c>
      <c r="T63" s="35">
        <f t="shared" si="12"/>
        <v>0</v>
      </c>
      <c r="U63" s="35">
        <f t="shared" si="12"/>
        <v>0</v>
      </c>
      <c r="V63" s="35">
        <f t="shared" si="12"/>
        <v>0</v>
      </c>
      <c r="W63" s="35">
        <f t="shared" si="12"/>
        <v>0</v>
      </c>
      <c r="X63" s="35">
        <f t="shared" si="12"/>
        <v>0</v>
      </c>
      <c r="Y63" s="35">
        <f t="shared" si="12"/>
        <v>0</v>
      </c>
      <c r="Z63" s="35">
        <f t="shared" si="12"/>
        <v>0</v>
      </c>
    </row>
    <row r="64" spans="2:26" x14ac:dyDescent="0.25">
      <c r="B64" s="10">
        <f t="shared" si="10"/>
        <v>43914</v>
      </c>
      <c r="C64" s="33">
        <v>4635</v>
      </c>
      <c r="D64" s="10">
        <v>43917</v>
      </c>
      <c r="E64" s="33">
        <v>4635</v>
      </c>
      <c r="F64" s="7" t="s">
        <v>14</v>
      </c>
      <c r="G64" s="12"/>
      <c r="H64" s="12">
        <v>525607</v>
      </c>
      <c r="I64" s="7" t="s">
        <v>103</v>
      </c>
      <c r="J64" s="8" t="s">
        <v>158</v>
      </c>
      <c r="L64" s="32">
        <f t="shared" si="8"/>
        <v>78878</v>
      </c>
      <c r="M64" s="32">
        <f t="shared" si="9"/>
        <v>78878</v>
      </c>
      <c r="O64" s="35">
        <f t="shared" si="12"/>
        <v>0</v>
      </c>
      <c r="P64" s="35">
        <f t="shared" si="12"/>
        <v>0</v>
      </c>
      <c r="Q64" s="35">
        <f t="shared" si="12"/>
        <v>4635</v>
      </c>
      <c r="R64" s="35">
        <f t="shared" si="12"/>
        <v>0</v>
      </c>
      <c r="S64" s="35">
        <f t="shared" si="12"/>
        <v>0</v>
      </c>
      <c r="T64" s="35">
        <f t="shared" si="12"/>
        <v>0</v>
      </c>
      <c r="U64" s="35">
        <f t="shared" si="12"/>
        <v>0</v>
      </c>
      <c r="V64" s="35">
        <f t="shared" si="12"/>
        <v>0</v>
      </c>
      <c r="W64" s="35">
        <f t="shared" si="12"/>
        <v>0</v>
      </c>
      <c r="X64" s="35">
        <f t="shared" si="12"/>
        <v>0</v>
      </c>
      <c r="Y64" s="35">
        <f t="shared" si="12"/>
        <v>0</v>
      </c>
      <c r="Z64" s="35">
        <f t="shared" si="12"/>
        <v>0</v>
      </c>
    </row>
    <row r="65" spans="2:26" x14ac:dyDescent="0.25">
      <c r="B65" s="10">
        <f t="shared" si="10"/>
        <v>43916</v>
      </c>
      <c r="C65" s="33">
        <v>11307</v>
      </c>
      <c r="D65" s="10">
        <v>43917</v>
      </c>
      <c r="E65" s="33">
        <v>11307</v>
      </c>
      <c r="F65" s="7" t="s">
        <v>14</v>
      </c>
      <c r="G65" s="12"/>
      <c r="H65" s="12">
        <v>560783</v>
      </c>
      <c r="I65" s="7" t="s">
        <v>103</v>
      </c>
      <c r="J65" s="8" t="s">
        <v>158</v>
      </c>
      <c r="L65" s="32">
        <f t="shared" si="8"/>
        <v>90185</v>
      </c>
      <c r="M65" s="32">
        <f t="shared" si="9"/>
        <v>90185</v>
      </c>
      <c r="O65" s="35">
        <f t="shared" si="12"/>
        <v>0</v>
      </c>
      <c r="P65" s="35">
        <f t="shared" si="12"/>
        <v>0</v>
      </c>
      <c r="Q65" s="35">
        <f t="shared" si="12"/>
        <v>11307</v>
      </c>
      <c r="R65" s="35">
        <f t="shared" si="12"/>
        <v>0</v>
      </c>
      <c r="S65" s="35">
        <f t="shared" si="12"/>
        <v>0</v>
      </c>
      <c r="T65" s="35">
        <f t="shared" si="12"/>
        <v>0</v>
      </c>
      <c r="U65" s="35">
        <f t="shared" si="12"/>
        <v>0</v>
      </c>
      <c r="V65" s="35">
        <f t="shared" si="12"/>
        <v>0</v>
      </c>
      <c r="W65" s="35">
        <f t="shared" si="12"/>
        <v>0</v>
      </c>
      <c r="X65" s="35">
        <f t="shared" si="12"/>
        <v>0</v>
      </c>
      <c r="Y65" s="35">
        <f t="shared" si="12"/>
        <v>0</v>
      </c>
      <c r="Z65" s="35">
        <f t="shared" si="12"/>
        <v>0</v>
      </c>
    </row>
    <row r="66" spans="2:26" x14ac:dyDescent="0.25">
      <c r="B66" s="10">
        <f t="shared" si="10"/>
        <v>43918</v>
      </c>
      <c r="C66" s="33">
        <v>-593</v>
      </c>
      <c r="D66" s="10">
        <v>43921</v>
      </c>
      <c r="E66" s="33">
        <v>-593</v>
      </c>
      <c r="F66" s="7" t="s">
        <v>14</v>
      </c>
      <c r="G66" s="12">
        <v>7356842</v>
      </c>
      <c r="H66" s="12"/>
      <c r="I66" s="7" t="s">
        <v>43</v>
      </c>
      <c r="J66" s="8"/>
      <c r="L66" s="32">
        <f t="shared" si="8"/>
        <v>89592</v>
      </c>
      <c r="M66" s="32">
        <f t="shared" si="9"/>
        <v>89592</v>
      </c>
      <c r="O66" s="35">
        <f t="shared" si="12"/>
        <v>0</v>
      </c>
      <c r="P66" s="35">
        <f t="shared" si="12"/>
        <v>0</v>
      </c>
      <c r="Q66" s="35">
        <f t="shared" si="12"/>
        <v>-593</v>
      </c>
      <c r="R66" s="35">
        <f t="shared" si="12"/>
        <v>0</v>
      </c>
      <c r="S66" s="35">
        <f t="shared" si="12"/>
        <v>0</v>
      </c>
      <c r="T66" s="35">
        <f t="shared" si="12"/>
        <v>0</v>
      </c>
      <c r="U66" s="35">
        <f t="shared" si="12"/>
        <v>0</v>
      </c>
      <c r="V66" s="35">
        <f t="shared" si="12"/>
        <v>0</v>
      </c>
      <c r="W66" s="35">
        <f t="shared" si="12"/>
        <v>0</v>
      </c>
      <c r="X66" s="35">
        <f t="shared" si="12"/>
        <v>0</v>
      </c>
      <c r="Y66" s="35">
        <f t="shared" si="12"/>
        <v>0</v>
      </c>
      <c r="Z66" s="35">
        <f t="shared" si="12"/>
        <v>0</v>
      </c>
    </row>
    <row r="67" spans="2:26" x14ac:dyDescent="0.25">
      <c r="B67" s="10">
        <f t="shared" si="10"/>
        <v>43920</v>
      </c>
      <c r="C67" s="33">
        <v>-3135</v>
      </c>
      <c r="D67" s="10">
        <v>43922</v>
      </c>
      <c r="E67" s="33">
        <v>-3135</v>
      </c>
      <c r="F67" s="7" t="s">
        <v>16</v>
      </c>
      <c r="G67" s="12">
        <v>7432895.2000000002</v>
      </c>
      <c r="H67" s="12"/>
      <c r="I67" s="7" t="s">
        <v>65</v>
      </c>
      <c r="J67" s="8"/>
      <c r="L67" s="32">
        <f t="shared" si="8"/>
        <v>86457</v>
      </c>
      <c r="M67" s="32">
        <f t="shared" si="9"/>
        <v>86457</v>
      </c>
      <c r="O67" s="35">
        <f t="shared" si="12"/>
        <v>0</v>
      </c>
      <c r="P67" s="35">
        <f t="shared" si="12"/>
        <v>0</v>
      </c>
      <c r="Q67" s="35">
        <f t="shared" si="12"/>
        <v>0</v>
      </c>
      <c r="R67" s="35">
        <f t="shared" si="12"/>
        <v>-3135</v>
      </c>
      <c r="S67" s="35">
        <f t="shared" si="12"/>
        <v>0</v>
      </c>
      <c r="T67" s="35">
        <f t="shared" si="12"/>
        <v>0</v>
      </c>
      <c r="U67" s="35">
        <f t="shared" si="12"/>
        <v>0</v>
      </c>
      <c r="V67" s="35">
        <f t="shared" si="12"/>
        <v>0</v>
      </c>
      <c r="W67" s="35">
        <f t="shared" si="12"/>
        <v>0</v>
      </c>
      <c r="X67" s="35">
        <f t="shared" si="12"/>
        <v>0</v>
      </c>
      <c r="Y67" s="35">
        <f t="shared" si="12"/>
        <v>0</v>
      </c>
      <c r="Z67" s="35">
        <f t="shared" si="12"/>
        <v>0</v>
      </c>
    </row>
    <row r="68" spans="2:26" x14ac:dyDescent="0.25">
      <c r="B68" s="10">
        <f t="shared" si="10"/>
        <v>43922</v>
      </c>
      <c r="C68" s="33">
        <v>-1669</v>
      </c>
      <c r="D68" s="10">
        <v>43925</v>
      </c>
      <c r="E68" s="33">
        <v>-1669</v>
      </c>
      <c r="F68" s="7" t="s">
        <v>16</v>
      </c>
      <c r="G68" s="12">
        <v>7508948.4000000004</v>
      </c>
      <c r="H68" s="12"/>
      <c r="I68" s="7" t="s">
        <v>55</v>
      </c>
      <c r="J68" s="8"/>
      <c r="L68" s="32">
        <f t="shared" si="8"/>
        <v>84788</v>
      </c>
      <c r="M68" s="32">
        <f t="shared" si="9"/>
        <v>84788</v>
      </c>
      <c r="O68" s="35">
        <f t="shared" si="12"/>
        <v>0</v>
      </c>
      <c r="P68" s="35">
        <f t="shared" si="12"/>
        <v>0</v>
      </c>
      <c r="Q68" s="35">
        <f t="shared" si="12"/>
        <v>0</v>
      </c>
      <c r="R68" s="35">
        <f t="shared" si="12"/>
        <v>-1669</v>
      </c>
      <c r="S68" s="35">
        <f t="shared" si="12"/>
        <v>0</v>
      </c>
      <c r="T68" s="35">
        <f t="shared" si="12"/>
        <v>0</v>
      </c>
      <c r="U68" s="35">
        <f t="shared" si="12"/>
        <v>0</v>
      </c>
      <c r="V68" s="35">
        <f t="shared" si="12"/>
        <v>0</v>
      </c>
      <c r="W68" s="35">
        <f t="shared" si="12"/>
        <v>0</v>
      </c>
      <c r="X68" s="35">
        <f t="shared" si="12"/>
        <v>0</v>
      </c>
      <c r="Y68" s="35">
        <f t="shared" si="12"/>
        <v>0</v>
      </c>
      <c r="Z68" s="35">
        <f t="shared" si="12"/>
        <v>0</v>
      </c>
    </row>
    <row r="69" spans="2:26" x14ac:dyDescent="0.25">
      <c r="B69" s="10">
        <f t="shared" si="10"/>
        <v>43924</v>
      </c>
      <c r="C69" s="33">
        <v>-876</v>
      </c>
      <c r="D69" s="10">
        <v>43925</v>
      </c>
      <c r="E69" s="33">
        <v>-876</v>
      </c>
      <c r="F69" s="7" t="s">
        <v>14</v>
      </c>
      <c r="G69" s="12">
        <v>7585001.5999999996</v>
      </c>
      <c r="H69" s="12"/>
      <c r="I69" s="7" t="s">
        <v>35</v>
      </c>
      <c r="J69" s="8"/>
      <c r="L69" s="32">
        <f t="shared" si="8"/>
        <v>83912</v>
      </c>
      <c r="M69" s="32">
        <f t="shared" si="9"/>
        <v>83912</v>
      </c>
      <c r="O69" s="35">
        <f t="shared" si="12"/>
        <v>0</v>
      </c>
      <c r="P69" s="35">
        <f t="shared" si="12"/>
        <v>0</v>
      </c>
      <c r="Q69" s="35">
        <f t="shared" si="12"/>
        <v>0</v>
      </c>
      <c r="R69" s="35">
        <f t="shared" si="12"/>
        <v>-876</v>
      </c>
      <c r="S69" s="35">
        <f t="shared" si="12"/>
        <v>0</v>
      </c>
      <c r="T69" s="35">
        <f t="shared" si="12"/>
        <v>0</v>
      </c>
      <c r="U69" s="35">
        <f t="shared" si="12"/>
        <v>0</v>
      </c>
      <c r="V69" s="35">
        <f t="shared" si="12"/>
        <v>0</v>
      </c>
      <c r="W69" s="35">
        <f t="shared" si="12"/>
        <v>0</v>
      </c>
      <c r="X69" s="35">
        <f t="shared" si="12"/>
        <v>0</v>
      </c>
      <c r="Y69" s="35">
        <f t="shared" si="12"/>
        <v>0</v>
      </c>
      <c r="Z69" s="35">
        <f t="shared" si="12"/>
        <v>0</v>
      </c>
    </row>
    <row r="70" spans="2:26" x14ac:dyDescent="0.25">
      <c r="B70" s="10">
        <f t="shared" si="10"/>
        <v>43926</v>
      </c>
      <c r="C70" s="33">
        <v>-2072</v>
      </c>
      <c r="D70" s="10">
        <v>43929</v>
      </c>
      <c r="E70" s="33">
        <v>-2072</v>
      </c>
      <c r="F70" s="7" t="s">
        <v>16</v>
      </c>
      <c r="G70" s="12">
        <v>7661054.7999999998</v>
      </c>
      <c r="H70" s="12"/>
      <c r="I70" s="7" t="s">
        <v>37</v>
      </c>
      <c r="J70" s="8"/>
      <c r="L70" s="32">
        <f t="shared" si="8"/>
        <v>81840</v>
      </c>
      <c r="M70" s="32">
        <f t="shared" si="9"/>
        <v>81840</v>
      </c>
      <c r="O70" s="35">
        <f t="shared" si="12"/>
        <v>0</v>
      </c>
      <c r="P70" s="35">
        <f t="shared" si="12"/>
        <v>0</v>
      </c>
      <c r="Q70" s="35">
        <f t="shared" si="12"/>
        <v>0</v>
      </c>
      <c r="R70" s="35">
        <f t="shared" si="12"/>
        <v>-2072</v>
      </c>
      <c r="S70" s="35">
        <f t="shared" si="12"/>
        <v>0</v>
      </c>
      <c r="T70" s="35">
        <f t="shared" si="12"/>
        <v>0</v>
      </c>
      <c r="U70" s="35">
        <f t="shared" ref="O70:Z91" si="13">IF($D70="","",IF(MONTH($D70)=U$7,$E70,0))</f>
        <v>0</v>
      </c>
      <c r="V70" s="35">
        <f t="shared" si="13"/>
        <v>0</v>
      </c>
      <c r="W70" s="35">
        <f t="shared" si="13"/>
        <v>0</v>
      </c>
      <c r="X70" s="35">
        <f t="shared" si="13"/>
        <v>0</v>
      </c>
      <c r="Y70" s="35">
        <f t="shared" si="13"/>
        <v>0</v>
      </c>
      <c r="Z70" s="35">
        <f t="shared" si="13"/>
        <v>0</v>
      </c>
    </row>
    <row r="71" spans="2:26" x14ac:dyDescent="0.25">
      <c r="B71" s="10">
        <f t="shared" si="10"/>
        <v>43928</v>
      </c>
      <c r="C71" s="33">
        <v>9096</v>
      </c>
      <c r="D71" s="10">
        <v>43930</v>
      </c>
      <c r="E71" s="33">
        <v>9096</v>
      </c>
      <c r="F71" s="7" t="s">
        <v>16</v>
      </c>
      <c r="G71" s="12"/>
      <c r="H71" s="12">
        <v>819413</v>
      </c>
      <c r="I71" s="7" t="s">
        <v>7</v>
      </c>
      <c r="J71" s="8" t="s">
        <v>158</v>
      </c>
      <c r="L71" s="32">
        <f t="shared" si="8"/>
        <v>90936</v>
      </c>
      <c r="M71" s="32">
        <f t="shared" si="9"/>
        <v>90936</v>
      </c>
      <c r="O71" s="35">
        <f t="shared" si="13"/>
        <v>0</v>
      </c>
      <c r="P71" s="35">
        <f t="shared" si="13"/>
        <v>0</v>
      </c>
      <c r="Q71" s="35">
        <f t="shared" si="13"/>
        <v>0</v>
      </c>
      <c r="R71" s="35">
        <f t="shared" si="13"/>
        <v>9096</v>
      </c>
      <c r="S71" s="35">
        <f t="shared" si="13"/>
        <v>0</v>
      </c>
      <c r="T71" s="35">
        <f t="shared" si="13"/>
        <v>0</v>
      </c>
      <c r="U71" s="35">
        <f t="shared" si="13"/>
        <v>0</v>
      </c>
      <c r="V71" s="35">
        <f t="shared" si="13"/>
        <v>0</v>
      </c>
      <c r="W71" s="35">
        <f t="shared" si="13"/>
        <v>0</v>
      </c>
      <c r="X71" s="35">
        <f t="shared" si="13"/>
        <v>0</v>
      </c>
      <c r="Y71" s="35">
        <f t="shared" si="13"/>
        <v>0</v>
      </c>
      <c r="Z71" s="35">
        <f t="shared" si="13"/>
        <v>0</v>
      </c>
    </row>
    <row r="72" spans="2:26" x14ac:dyDescent="0.25">
      <c r="B72" s="10">
        <f t="shared" si="10"/>
        <v>43930</v>
      </c>
      <c r="C72" s="33">
        <v>9570</v>
      </c>
      <c r="D72" s="10">
        <v>43932</v>
      </c>
      <c r="E72" s="33">
        <v>9570</v>
      </c>
      <c r="F72" s="7" t="s">
        <v>12</v>
      </c>
      <c r="G72" s="12"/>
      <c r="H72" s="12">
        <v>609575</v>
      </c>
      <c r="I72" s="7" t="s">
        <v>10</v>
      </c>
      <c r="J72" s="8" t="s">
        <v>158</v>
      </c>
      <c r="L72" s="32">
        <f t="shared" si="8"/>
        <v>100506</v>
      </c>
      <c r="M72" s="32">
        <f t="shared" si="9"/>
        <v>100506</v>
      </c>
      <c r="O72" s="35">
        <f t="shared" si="13"/>
        <v>0</v>
      </c>
      <c r="P72" s="35">
        <f t="shared" si="13"/>
        <v>0</v>
      </c>
      <c r="Q72" s="35">
        <f t="shared" si="13"/>
        <v>0</v>
      </c>
      <c r="R72" s="35">
        <f t="shared" si="13"/>
        <v>9570</v>
      </c>
      <c r="S72" s="35">
        <f t="shared" si="13"/>
        <v>0</v>
      </c>
      <c r="T72" s="35">
        <f t="shared" si="13"/>
        <v>0</v>
      </c>
      <c r="U72" s="35">
        <f t="shared" si="13"/>
        <v>0</v>
      </c>
      <c r="V72" s="35">
        <f t="shared" si="13"/>
        <v>0</v>
      </c>
      <c r="W72" s="35">
        <f t="shared" si="13"/>
        <v>0</v>
      </c>
      <c r="X72" s="35">
        <f t="shared" si="13"/>
        <v>0</v>
      </c>
      <c r="Y72" s="35">
        <f t="shared" si="13"/>
        <v>0</v>
      </c>
      <c r="Z72" s="35">
        <f t="shared" si="13"/>
        <v>0</v>
      </c>
    </row>
    <row r="73" spans="2:26" x14ac:dyDescent="0.25">
      <c r="B73" s="10">
        <f t="shared" si="10"/>
        <v>43932</v>
      </c>
      <c r="C73" s="33">
        <v>3679</v>
      </c>
      <c r="D73" s="10">
        <v>43933</v>
      </c>
      <c r="E73" s="33">
        <v>3679</v>
      </c>
      <c r="F73" s="7" t="s">
        <v>14</v>
      </c>
      <c r="G73" s="12"/>
      <c r="H73" s="12">
        <v>172621</v>
      </c>
      <c r="I73" s="7" t="s">
        <v>7</v>
      </c>
      <c r="J73" s="8" t="s">
        <v>158</v>
      </c>
      <c r="L73" s="32">
        <f t="shared" si="8"/>
        <v>104185</v>
      </c>
      <c r="M73" s="32">
        <f t="shared" si="9"/>
        <v>104185</v>
      </c>
      <c r="O73" s="35">
        <f t="shared" si="13"/>
        <v>0</v>
      </c>
      <c r="P73" s="35">
        <f t="shared" si="13"/>
        <v>0</v>
      </c>
      <c r="Q73" s="35">
        <f t="shared" si="13"/>
        <v>0</v>
      </c>
      <c r="R73" s="35">
        <f t="shared" si="13"/>
        <v>3679</v>
      </c>
      <c r="S73" s="35">
        <f t="shared" si="13"/>
        <v>0</v>
      </c>
      <c r="T73" s="35">
        <f t="shared" si="13"/>
        <v>0</v>
      </c>
      <c r="U73" s="35">
        <f t="shared" si="13"/>
        <v>0</v>
      </c>
      <c r="V73" s="35">
        <f t="shared" si="13"/>
        <v>0</v>
      </c>
      <c r="W73" s="35">
        <f t="shared" si="13"/>
        <v>0</v>
      </c>
      <c r="X73" s="35">
        <f t="shared" si="13"/>
        <v>0</v>
      </c>
      <c r="Y73" s="35">
        <f t="shared" si="13"/>
        <v>0</v>
      </c>
      <c r="Z73" s="35">
        <f t="shared" si="13"/>
        <v>0</v>
      </c>
    </row>
    <row r="74" spans="2:26" x14ac:dyDescent="0.25">
      <c r="B74" s="10">
        <f t="shared" si="10"/>
        <v>43934</v>
      </c>
      <c r="C74" s="33">
        <v>-1145</v>
      </c>
      <c r="D74" s="10">
        <v>43936</v>
      </c>
      <c r="E74" s="33">
        <v>-1145</v>
      </c>
      <c r="F74" s="7" t="s">
        <v>16</v>
      </c>
      <c r="G74" s="12">
        <v>7737108</v>
      </c>
      <c r="H74" s="12"/>
      <c r="I74" s="7" t="s">
        <v>35</v>
      </c>
      <c r="J74" s="8"/>
      <c r="L74" s="32">
        <f t="shared" si="8"/>
        <v>103040</v>
      </c>
      <c r="M74" s="32">
        <f t="shared" si="9"/>
        <v>103040</v>
      </c>
      <c r="O74" s="35">
        <f t="shared" si="13"/>
        <v>0</v>
      </c>
      <c r="P74" s="35">
        <f t="shared" si="13"/>
        <v>0</v>
      </c>
      <c r="Q74" s="35">
        <f t="shared" si="13"/>
        <v>0</v>
      </c>
      <c r="R74" s="35">
        <f t="shared" si="13"/>
        <v>-1145</v>
      </c>
      <c r="S74" s="35">
        <f t="shared" si="13"/>
        <v>0</v>
      </c>
      <c r="T74" s="35">
        <f t="shared" si="13"/>
        <v>0</v>
      </c>
      <c r="U74" s="35">
        <f t="shared" si="13"/>
        <v>0</v>
      </c>
      <c r="V74" s="35">
        <f t="shared" si="13"/>
        <v>0</v>
      </c>
      <c r="W74" s="35">
        <f t="shared" si="13"/>
        <v>0</v>
      </c>
      <c r="X74" s="35">
        <f t="shared" si="13"/>
        <v>0</v>
      </c>
      <c r="Y74" s="35">
        <f t="shared" si="13"/>
        <v>0</v>
      </c>
      <c r="Z74" s="35">
        <f t="shared" si="13"/>
        <v>0</v>
      </c>
    </row>
    <row r="75" spans="2:26" x14ac:dyDescent="0.25">
      <c r="B75" s="10">
        <f t="shared" si="10"/>
        <v>43936</v>
      </c>
      <c r="C75" s="33">
        <v>-1484</v>
      </c>
      <c r="D75" s="10">
        <v>43937</v>
      </c>
      <c r="E75" s="33">
        <v>-1484</v>
      </c>
      <c r="F75" s="7" t="s">
        <v>14</v>
      </c>
      <c r="G75" s="12">
        <v>7813161.2000000002</v>
      </c>
      <c r="H75" s="12"/>
      <c r="I75" s="7" t="s">
        <v>43</v>
      </c>
      <c r="J75" s="8"/>
      <c r="L75" s="32">
        <f t="shared" si="8"/>
        <v>101556</v>
      </c>
      <c r="M75" s="32">
        <f t="shared" si="9"/>
        <v>101556</v>
      </c>
      <c r="O75" s="35">
        <f t="shared" si="13"/>
        <v>0</v>
      </c>
      <c r="P75" s="35">
        <f t="shared" si="13"/>
        <v>0</v>
      </c>
      <c r="Q75" s="35">
        <f t="shared" si="13"/>
        <v>0</v>
      </c>
      <c r="R75" s="35">
        <f t="shared" si="13"/>
        <v>-1484</v>
      </c>
      <c r="S75" s="35">
        <f t="shared" si="13"/>
        <v>0</v>
      </c>
      <c r="T75" s="35">
        <f t="shared" si="13"/>
        <v>0</v>
      </c>
      <c r="U75" s="35">
        <f t="shared" si="13"/>
        <v>0</v>
      </c>
      <c r="V75" s="35">
        <f t="shared" si="13"/>
        <v>0</v>
      </c>
      <c r="W75" s="35">
        <f t="shared" si="13"/>
        <v>0</v>
      </c>
      <c r="X75" s="35">
        <f t="shared" si="13"/>
        <v>0</v>
      </c>
      <c r="Y75" s="35">
        <f t="shared" si="13"/>
        <v>0</v>
      </c>
      <c r="Z75" s="35">
        <f t="shared" si="13"/>
        <v>0</v>
      </c>
    </row>
    <row r="76" spans="2:26" x14ac:dyDescent="0.25">
      <c r="B76" s="10">
        <f t="shared" si="10"/>
        <v>43938</v>
      </c>
      <c r="C76" s="33">
        <v>9493</v>
      </c>
      <c r="D76" s="10">
        <v>43940</v>
      </c>
      <c r="E76" s="33">
        <v>9493</v>
      </c>
      <c r="F76" s="7" t="s">
        <v>14</v>
      </c>
      <c r="G76" s="12"/>
      <c r="H76" s="12">
        <v>489260</v>
      </c>
      <c r="I76" s="7" t="s">
        <v>10</v>
      </c>
      <c r="J76" s="8" t="s">
        <v>158</v>
      </c>
      <c r="L76" s="32">
        <f t="shared" si="8"/>
        <v>111049</v>
      </c>
      <c r="M76" s="32">
        <f t="shared" si="9"/>
        <v>111049</v>
      </c>
      <c r="O76" s="35">
        <f t="shared" si="13"/>
        <v>0</v>
      </c>
      <c r="P76" s="35">
        <f t="shared" si="13"/>
        <v>0</v>
      </c>
      <c r="Q76" s="35">
        <f t="shared" si="13"/>
        <v>0</v>
      </c>
      <c r="R76" s="35">
        <f t="shared" si="13"/>
        <v>9493</v>
      </c>
      <c r="S76" s="35">
        <f t="shared" si="13"/>
        <v>0</v>
      </c>
      <c r="T76" s="35">
        <f t="shared" si="13"/>
        <v>0</v>
      </c>
      <c r="U76" s="35">
        <f t="shared" si="13"/>
        <v>0</v>
      </c>
      <c r="V76" s="35">
        <f t="shared" si="13"/>
        <v>0</v>
      </c>
      <c r="W76" s="35">
        <f t="shared" si="13"/>
        <v>0</v>
      </c>
      <c r="X76" s="35">
        <f t="shared" si="13"/>
        <v>0</v>
      </c>
      <c r="Y76" s="35">
        <f t="shared" si="13"/>
        <v>0</v>
      </c>
      <c r="Z76" s="35">
        <f t="shared" si="13"/>
        <v>0</v>
      </c>
    </row>
    <row r="77" spans="2:26" x14ac:dyDescent="0.25">
      <c r="B77" s="10">
        <f t="shared" si="10"/>
        <v>43940</v>
      </c>
      <c r="C77" s="33">
        <v>-380</v>
      </c>
      <c r="D77" s="10">
        <v>43942</v>
      </c>
      <c r="E77" s="33">
        <v>-380</v>
      </c>
      <c r="F77" s="7" t="s">
        <v>14</v>
      </c>
      <c r="G77" s="12">
        <v>7889214.4000000004</v>
      </c>
      <c r="H77" s="12"/>
      <c r="I77" s="7" t="s">
        <v>37</v>
      </c>
      <c r="J77" s="8"/>
      <c r="L77" s="32">
        <f t="shared" si="8"/>
        <v>110669</v>
      </c>
      <c r="M77" s="32">
        <f t="shared" si="9"/>
        <v>110669</v>
      </c>
      <c r="O77" s="35">
        <f t="shared" si="13"/>
        <v>0</v>
      </c>
      <c r="P77" s="35">
        <f t="shared" si="13"/>
        <v>0</v>
      </c>
      <c r="Q77" s="35">
        <f t="shared" si="13"/>
        <v>0</v>
      </c>
      <c r="R77" s="35">
        <f t="shared" si="13"/>
        <v>-380</v>
      </c>
      <c r="S77" s="35">
        <f t="shared" si="13"/>
        <v>0</v>
      </c>
      <c r="T77" s="35">
        <f t="shared" si="13"/>
        <v>0</v>
      </c>
      <c r="U77" s="35">
        <f t="shared" si="13"/>
        <v>0</v>
      </c>
      <c r="V77" s="35">
        <f t="shared" si="13"/>
        <v>0</v>
      </c>
      <c r="W77" s="35">
        <f t="shared" si="13"/>
        <v>0</v>
      </c>
      <c r="X77" s="35">
        <f t="shared" si="13"/>
        <v>0</v>
      </c>
      <c r="Y77" s="35">
        <f t="shared" si="13"/>
        <v>0</v>
      </c>
      <c r="Z77" s="35">
        <f t="shared" si="13"/>
        <v>0</v>
      </c>
    </row>
    <row r="78" spans="2:26" x14ac:dyDescent="0.25">
      <c r="B78" s="10">
        <f t="shared" si="10"/>
        <v>43942</v>
      </c>
      <c r="C78" s="33">
        <v>-2428</v>
      </c>
      <c r="D78" s="10">
        <v>43943</v>
      </c>
      <c r="E78" s="33">
        <v>-2428</v>
      </c>
      <c r="F78" s="7" t="s">
        <v>16</v>
      </c>
      <c r="G78" s="12">
        <v>7965267.5999999996</v>
      </c>
      <c r="H78" s="12"/>
      <c r="I78" s="7" t="s">
        <v>71</v>
      </c>
      <c r="J78" s="8"/>
      <c r="L78" s="32">
        <f t="shared" si="8"/>
        <v>108241</v>
      </c>
      <c r="M78" s="32">
        <f t="shared" si="9"/>
        <v>108241</v>
      </c>
      <c r="O78" s="35">
        <f t="shared" si="13"/>
        <v>0</v>
      </c>
      <c r="P78" s="35">
        <f t="shared" si="13"/>
        <v>0</v>
      </c>
      <c r="Q78" s="35">
        <f t="shared" si="13"/>
        <v>0</v>
      </c>
      <c r="R78" s="35">
        <f t="shared" si="13"/>
        <v>-2428</v>
      </c>
      <c r="S78" s="35">
        <f t="shared" si="13"/>
        <v>0</v>
      </c>
      <c r="T78" s="35">
        <f t="shared" si="13"/>
        <v>0</v>
      </c>
      <c r="U78" s="35">
        <f t="shared" si="13"/>
        <v>0</v>
      </c>
      <c r="V78" s="35">
        <f t="shared" si="13"/>
        <v>0</v>
      </c>
      <c r="W78" s="35">
        <f t="shared" si="13"/>
        <v>0</v>
      </c>
      <c r="X78" s="35">
        <f t="shared" si="13"/>
        <v>0</v>
      </c>
      <c r="Y78" s="35">
        <f t="shared" si="13"/>
        <v>0</v>
      </c>
      <c r="Z78" s="35">
        <f t="shared" si="13"/>
        <v>0</v>
      </c>
    </row>
    <row r="79" spans="2:26" x14ac:dyDescent="0.25">
      <c r="B79" s="10">
        <f t="shared" si="10"/>
        <v>43944</v>
      </c>
      <c r="C79" s="33">
        <v>-482</v>
      </c>
      <c r="D79" s="10">
        <v>43946</v>
      </c>
      <c r="E79" s="33">
        <v>-482</v>
      </c>
      <c r="F79" s="7" t="s">
        <v>16</v>
      </c>
      <c r="G79" s="12">
        <v>8041320.7999999998</v>
      </c>
      <c r="H79" s="12"/>
      <c r="I79" s="7" t="s">
        <v>49</v>
      </c>
      <c r="J79" s="8"/>
      <c r="L79" s="32">
        <f t="shared" si="8"/>
        <v>107759</v>
      </c>
      <c r="M79" s="32">
        <f t="shared" si="9"/>
        <v>107759</v>
      </c>
      <c r="O79" s="35">
        <f t="shared" si="13"/>
        <v>0</v>
      </c>
      <c r="P79" s="35">
        <f t="shared" si="13"/>
        <v>0</v>
      </c>
      <c r="Q79" s="35">
        <f t="shared" si="13"/>
        <v>0</v>
      </c>
      <c r="R79" s="35">
        <f t="shared" si="13"/>
        <v>-482</v>
      </c>
      <c r="S79" s="35">
        <f t="shared" si="13"/>
        <v>0</v>
      </c>
      <c r="T79" s="35">
        <f t="shared" si="13"/>
        <v>0</v>
      </c>
      <c r="U79" s="35">
        <f t="shared" si="13"/>
        <v>0</v>
      </c>
      <c r="V79" s="35">
        <f t="shared" si="13"/>
        <v>0</v>
      </c>
      <c r="W79" s="35">
        <f t="shared" si="13"/>
        <v>0</v>
      </c>
      <c r="X79" s="35">
        <f t="shared" si="13"/>
        <v>0</v>
      </c>
      <c r="Y79" s="35">
        <f t="shared" si="13"/>
        <v>0</v>
      </c>
      <c r="Z79" s="35">
        <f t="shared" si="13"/>
        <v>0</v>
      </c>
    </row>
    <row r="80" spans="2:26" x14ac:dyDescent="0.25">
      <c r="B80" s="10">
        <f t="shared" si="10"/>
        <v>43946</v>
      </c>
      <c r="C80" s="33">
        <v>-3081</v>
      </c>
      <c r="D80" s="10">
        <v>43948</v>
      </c>
      <c r="E80" s="33">
        <v>-3081</v>
      </c>
      <c r="F80" s="7" t="s">
        <v>14</v>
      </c>
      <c r="G80" s="12">
        <v>8117374</v>
      </c>
      <c r="H80" s="12"/>
      <c r="I80" s="7" t="s">
        <v>55</v>
      </c>
      <c r="J80" s="8"/>
      <c r="L80" s="32">
        <f t="shared" si="8"/>
        <v>104678</v>
      </c>
      <c r="M80" s="32">
        <f t="shared" si="9"/>
        <v>104678</v>
      </c>
      <c r="O80" s="35">
        <f t="shared" si="13"/>
        <v>0</v>
      </c>
      <c r="P80" s="35">
        <f t="shared" si="13"/>
        <v>0</v>
      </c>
      <c r="Q80" s="35">
        <f t="shared" si="13"/>
        <v>0</v>
      </c>
      <c r="R80" s="35">
        <f t="shared" si="13"/>
        <v>-3081</v>
      </c>
      <c r="S80" s="35">
        <f t="shared" si="13"/>
        <v>0</v>
      </c>
      <c r="T80" s="35">
        <f t="shared" si="13"/>
        <v>0</v>
      </c>
      <c r="U80" s="35">
        <f t="shared" si="13"/>
        <v>0</v>
      </c>
      <c r="V80" s="35">
        <f t="shared" si="13"/>
        <v>0</v>
      </c>
      <c r="W80" s="35">
        <f t="shared" si="13"/>
        <v>0</v>
      </c>
      <c r="X80" s="35">
        <f t="shared" si="13"/>
        <v>0</v>
      </c>
      <c r="Y80" s="35">
        <f t="shared" si="13"/>
        <v>0</v>
      </c>
      <c r="Z80" s="35">
        <f t="shared" si="13"/>
        <v>0</v>
      </c>
    </row>
    <row r="81" spans="2:26" x14ac:dyDescent="0.25">
      <c r="B81" s="10">
        <f t="shared" si="10"/>
        <v>43948</v>
      </c>
      <c r="C81" s="33">
        <v>-1934</v>
      </c>
      <c r="D81" s="10">
        <v>43949</v>
      </c>
      <c r="E81" s="33">
        <v>-1934</v>
      </c>
      <c r="F81" s="7" t="s">
        <v>14</v>
      </c>
      <c r="G81" s="12">
        <v>8193427.2000000002</v>
      </c>
      <c r="H81" s="12"/>
      <c r="I81" s="7" t="s">
        <v>35</v>
      </c>
      <c r="J81" s="8"/>
      <c r="L81" s="32">
        <f t="shared" si="8"/>
        <v>102744</v>
      </c>
      <c r="M81" s="32">
        <f t="shared" si="9"/>
        <v>102744</v>
      </c>
      <c r="O81" s="35">
        <f t="shared" si="13"/>
        <v>0</v>
      </c>
      <c r="P81" s="35">
        <f t="shared" si="13"/>
        <v>0</v>
      </c>
      <c r="Q81" s="35">
        <f t="shared" si="13"/>
        <v>0</v>
      </c>
      <c r="R81" s="35">
        <f t="shared" si="13"/>
        <v>-1934</v>
      </c>
      <c r="S81" s="35">
        <f t="shared" si="13"/>
        <v>0</v>
      </c>
      <c r="T81" s="35">
        <f t="shared" si="13"/>
        <v>0</v>
      </c>
      <c r="U81" s="35">
        <f t="shared" si="13"/>
        <v>0</v>
      </c>
      <c r="V81" s="35">
        <f t="shared" si="13"/>
        <v>0</v>
      </c>
      <c r="W81" s="35">
        <f t="shared" si="13"/>
        <v>0</v>
      </c>
      <c r="X81" s="35">
        <f t="shared" si="13"/>
        <v>0</v>
      </c>
      <c r="Y81" s="35">
        <f t="shared" si="13"/>
        <v>0</v>
      </c>
      <c r="Z81" s="35">
        <f t="shared" si="13"/>
        <v>0</v>
      </c>
    </row>
    <row r="82" spans="2:26" x14ac:dyDescent="0.25">
      <c r="B82" s="10">
        <f t="shared" si="10"/>
        <v>43950</v>
      </c>
      <c r="C82" s="33">
        <v>-1626</v>
      </c>
      <c r="D82" s="10">
        <v>43953</v>
      </c>
      <c r="E82" s="33">
        <v>-1626</v>
      </c>
      <c r="F82" s="7" t="s">
        <v>14</v>
      </c>
      <c r="G82" s="12">
        <v>8269480.4000000004</v>
      </c>
      <c r="H82" s="12"/>
      <c r="I82" s="7" t="s">
        <v>43</v>
      </c>
      <c r="J82" s="8"/>
      <c r="L82" s="32">
        <f t="shared" si="8"/>
        <v>101118</v>
      </c>
      <c r="M82" s="32">
        <f t="shared" si="9"/>
        <v>101118</v>
      </c>
      <c r="O82" s="35">
        <f t="shared" si="13"/>
        <v>0</v>
      </c>
      <c r="P82" s="35">
        <f t="shared" si="13"/>
        <v>0</v>
      </c>
      <c r="Q82" s="35">
        <f t="shared" si="13"/>
        <v>0</v>
      </c>
      <c r="R82" s="35">
        <f t="shared" si="13"/>
        <v>0</v>
      </c>
      <c r="S82" s="35">
        <f t="shared" si="13"/>
        <v>-1626</v>
      </c>
      <c r="T82" s="35">
        <f t="shared" si="13"/>
        <v>0</v>
      </c>
      <c r="U82" s="35">
        <f t="shared" si="13"/>
        <v>0</v>
      </c>
      <c r="V82" s="35">
        <f t="shared" si="13"/>
        <v>0</v>
      </c>
      <c r="W82" s="35">
        <f t="shared" si="13"/>
        <v>0</v>
      </c>
      <c r="X82" s="35">
        <f t="shared" si="13"/>
        <v>0</v>
      </c>
      <c r="Y82" s="35">
        <f t="shared" si="13"/>
        <v>0</v>
      </c>
      <c r="Z82" s="35">
        <f t="shared" si="13"/>
        <v>0</v>
      </c>
    </row>
    <row r="83" spans="2:26" x14ac:dyDescent="0.25">
      <c r="B83" s="10">
        <f t="shared" si="10"/>
        <v>43952</v>
      </c>
      <c r="C83" s="33">
        <v>-1488</v>
      </c>
      <c r="D83" s="10">
        <v>43954</v>
      </c>
      <c r="E83" s="33">
        <v>-1488</v>
      </c>
      <c r="F83" s="7" t="s">
        <v>14</v>
      </c>
      <c r="G83" s="12">
        <v>8345533.5999999996</v>
      </c>
      <c r="H83" s="12"/>
      <c r="I83" s="7" t="s">
        <v>51</v>
      </c>
      <c r="J83" s="8"/>
      <c r="L83" s="32">
        <f t="shared" si="8"/>
        <v>99630</v>
      </c>
      <c r="M83" s="32">
        <f t="shared" si="9"/>
        <v>99630</v>
      </c>
      <c r="O83" s="35">
        <f t="shared" si="13"/>
        <v>0</v>
      </c>
      <c r="P83" s="35">
        <f t="shared" si="13"/>
        <v>0</v>
      </c>
      <c r="Q83" s="35">
        <f t="shared" si="13"/>
        <v>0</v>
      </c>
      <c r="R83" s="35">
        <f t="shared" si="13"/>
        <v>0</v>
      </c>
      <c r="S83" s="35">
        <f t="shared" si="13"/>
        <v>-1488</v>
      </c>
      <c r="T83" s="35">
        <f t="shared" si="13"/>
        <v>0</v>
      </c>
      <c r="U83" s="35">
        <f t="shared" si="13"/>
        <v>0</v>
      </c>
      <c r="V83" s="35">
        <f t="shared" si="13"/>
        <v>0</v>
      </c>
      <c r="W83" s="35">
        <f t="shared" si="13"/>
        <v>0</v>
      </c>
      <c r="X83" s="35">
        <f t="shared" si="13"/>
        <v>0</v>
      </c>
      <c r="Y83" s="35">
        <f t="shared" si="13"/>
        <v>0</v>
      </c>
      <c r="Z83" s="35">
        <f t="shared" si="13"/>
        <v>0</v>
      </c>
    </row>
    <row r="84" spans="2:26" x14ac:dyDescent="0.25">
      <c r="B84" s="10">
        <f t="shared" si="10"/>
        <v>43954</v>
      </c>
      <c r="C84" s="33">
        <v>-2853</v>
      </c>
      <c r="D84" s="10">
        <v>43957</v>
      </c>
      <c r="E84" s="33">
        <v>-2853</v>
      </c>
      <c r="F84" s="7" t="s">
        <v>14</v>
      </c>
      <c r="G84" s="12">
        <v>8421586.8000000007</v>
      </c>
      <c r="H84" s="12"/>
      <c r="I84" s="7" t="s">
        <v>73</v>
      </c>
      <c r="J84" s="8"/>
      <c r="L84" s="32">
        <f t="shared" si="8"/>
        <v>96777</v>
      </c>
      <c r="M84" s="32">
        <f t="shared" si="9"/>
        <v>96777</v>
      </c>
      <c r="O84" s="35">
        <f t="shared" si="13"/>
        <v>0</v>
      </c>
      <c r="P84" s="35">
        <f t="shared" si="13"/>
        <v>0</v>
      </c>
      <c r="Q84" s="35">
        <f t="shared" si="13"/>
        <v>0</v>
      </c>
      <c r="R84" s="35">
        <f t="shared" si="13"/>
        <v>0</v>
      </c>
      <c r="S84" s="35">
        <f t="shared" si="13"/>
        <v>-2853</v>
      </c>
      <c r="T84" s="35">
        <f t="shared" si="13"/>
        <v>0</v>
      </c>
      <c r="U84" s="35">
        <f t="shared" si="13"/>
        <v>0</v>
      </c>
      <c r="V84" s="35">
        <f t="shared" si="13"/>
        <v>0</v>
      </c>
      <c r="W84" s="35">
        <f t="shared" si="13"/>
        <v>0</v>
      </c>
      <c r="X84" s="35">
        <f t="shared" si="13"/>
        <v>0</v>
      </c>
      <c r="Y84" s="35">
        <f t="shared" si="13"/>
        <v>0</v>
      </c>
      <c r="Z84" s="35">
        <f t="shared" si="13"/>
        <v>0</v>
      </c>
    </row>
    <row r="85" spans="2:26" x14ac:dyDescent="0.25">
      <c r="B85" s="10">
        <f t="shared" si="10"/>
        <v>43956</v>
      </c>
      <c r="C85" s="33">
        <v>-1911</v>
      </c>
      <c r="D85" s="10">
        <v>43958</v>
      </c>
      <c r="E85" s="33">
        <v>-1911</v>
      </c>
      <c r="F85" s="7" t="s">
        <v>12</v>
      </c>
      <c r="G85" s="12">
        <v>8497640</v>
      </c>
      <c r="H85" s="12"/>
      <c r="I85" s="7" t="s">
        <v>55</v>
      </c>
      <c r="J85" s="8"/>
      <c r="L85" s="32">
        <f t="shared" si="8"/>
        <v>94866</v>
      </c>
      <c r="M85" s="32">
        <f t="shared" si="9"/>
        <v>94866</v>
      </c>
      <c r="O85" s="35">
        <f t="shared" si="13"/>
        <v>0</v>
      </c>
      <c r="P85" s="35">
        <f t="shared" si="13"/>
        <v>0</v>
      </c>
      <c r="Q85" s="35">
        <f t="shared" si="13"/>
        <v>0</v>
      </c>
      <c r="R85" s="35">
        <f t="shared" si="13"/>
        <v>0</v>
      </c>
      <c r="S85" s="35">
        <f t="shared" si="13"/>
        <v>-1911</v>
      </c>
      <c r="T85" s="35">
        <f t="shared" si="13"/>
        <v>0</v>
      </c>
      <c r="U85" s="35">
        <f t="shared" si="13"/>
        <v>0</v>
      </c>
      <c r="V85" s="35">
        <f t="shared" si="13"/>
        <v>0</v>
      </c>
      <c r="W85" s="35">
        <f t="shared" si="13"/>
        <v>0</v>
      </c>
      <c r="X85" s="35">
        <f t="shared" si="13"/>
        <v>0</v>
      </c>
      <c r="Y85" s="35">
        <f t="shared" si="13"/>
        <v>0</v>
      </c>
      <c r="Z85" s="35">
        <f t="shared" si="13"/>
        <v>0</v>
      </c>
    </row>
    <row r="86" spans="2:26" x14ac:dyDescent="0.25">
      <c r="B86" s="10">
        <f t="shared" si="10"/>
        <v>43958</v>
      </c>
      <c r="C86" s="33">
        <v>-1358</v>
      </c>
      <c r="D86" s="10">
        <v>43959</v>
      </c>
      <c r="E86" s="33">
        <v>-1358</v>
      </c>
      <c r="F86" s="7" t="s">
        <v>14</v>
      </c>
      <c r="G86" s="12">
        <v>8573693.1999999993</v>
      </c>
      <c r="H86" s="12"/>
      <c r="I86" s="7" t="s">
        <v>57</v>
      </c>
      <c r="J86" s="8"/>
      <c r="L86" s="32">
        <f t="shared" si="8"/>
        <v>93508</v>
      </c>
      <c r="M86" s="32">
        <f t="shared" si="9"/>
        <v>93508</v>
      </c>
      <c r="O86" s="35">
        <f t="shared" si="13"/>
        <v>0</v>
      </c>
      <c r="P86" s="35">
        <f t="shared" si="13"/>
        <v>0</v>
      </c>
      <c r="Q86" s="35">
        <f t="shared" si="13"/>
        <v>0</v>
      </c>
      <c r="R86" s="35">
        <f t="shared" si="13"/>
        <v>0</v>
      </c>
      <c r="S86" s="35">
        <f t="shared" si="13"/>
        <v>-1358</v>
      </c>
      <c r="T86" s="35">
        <f t="shared" si="13"/>
        <v>0</v>
      </c>
      <c r="U86" s="35">
        <f t="shared" si="13"/>
        <v>0</v>
      </c>
      <c r="V86" s="35">
        <f t="shared" si="13"/>
        <v>0</v>
      </c>
      <c r="W86" s="35">
        <f t="shared" si="13"/>
        <v>0</v>
      </c>
      <c r="X86" s="35">
        <f t="shared" si="13"/>
        <v>0</v>
      </c>
      <c r="Y86" s="35">
        <f t="shared" si="13"/>
        <v>0</v>
      </c>
      <c r="Z86" s="35">
        <f t="shared" si="13"/>
        <v>0</v>
      </c>
    </row>
    <row r="87" spans="2:26" x14ac:dyDescent="0.25">
      <c r="B87" s="10">
        <f t="shared" si="10"/>
        <v>43960</v>
      </c>
      <c r="C87" s="33">
        <v>-1525</v>
      </c>
      <c r="D87" s="10">
        <v>43963</v>
      </c>
      <c r="E87" s="33">
        <v>-1525</v>
      </c>
      <c r="F87" s="7" t="s">
        <v>16</v>
      </c>
      <c r="G87" s="12">
        <v>8649746.4000000004</v>
      </c>
      <c r="H87" s="12"/>
      <c r="I87" s="7" t="s">
        <v>59</v>
      </c>
      <c r="J87" s="8"/>
      <c r="L87" s="32">
        <f t="shared" si="8"/>
        <v>91983</v>
      </c>
      <c r="M87" s="32">
        <f t="shared" si="9"/>
        <v>91983</v>
      </c>
      <c r="O87" s="35">
        <f t="shared" si="13"/>
        <v>0</v>
      </c>
      <c r="P87" s="35">
        <f t="shared" si="13"/>
        <v>0</v>
      </c>
      <c r="Q87" s="35">
        <f t="shared" si="13"/>
        <v>0</v>
      </c>
      <c r="R87" s="35">
        <f t="shared" si="13"/>
        <v>0</v>
      </c>
      <c r="S87" s="35">
        <f t="shared" si="13"/>
        <v>-1525</v>
      </c>
      <c r="T87" s="35">
        <f t="shared" si="13"/>
        <v>0</v>
      </c>
      <c r="U87" s="35">
        <f t="shared" si="13"/>
        <v>0</v>
      </c>
      <c r="V87" s="35">
        <f t="shared" si="13"/>
        <v>0</v>
      </c>
      <c r="W87" s="35">
        <f t="shared" si="13"/>
        <v>0</v>
      </c>
      <c r="X87" s="35">
        <f t="shared" si="13"/>
        <v>0</v>
      </c>
      <c r="Y87" s="35">
        <f t="shared" si="13"/>
        <v>0</v>
      </c>
      <c r="Z87" s="35">
        <f t="shared" si="13"/>
        <v>0</v>
      </c>
    </row>
    <row r="88" spans="2:26" x14ac:dyDescent="0.25">
      <c r="B88" s="10">
        <f t="shared" si="10"/>
        <v>43962</v>
      </c>
      <c r="C88" s="33">
        <v>-1047</v>
      </c>
      <c r="D88" s="10">
        <v>43964</v>
      </c>
      <c r="E88" s="33">
        <v>-1047</v>
      </c>
      <c r="F88" s="7" t="s">
        <v>14</v>
      </c>
      <c r="G88" s="12">
        <v>8725799.5999999996</v>
      </c>
      <c r="H88" s="12"/>
      <c r="I88" s="7" t="s">
        <v>61</v>
      </c>
      <c r="J88" s="8"/>
      <c r="L88" s="32">
        <f t="shared" si="8"/>
        <v>90936</v>
      </c>
      <c r="M88" s="32">
        <f t="shared" si="9"/>
        <v>90936</v>
      </c>
      <c r="O88" s="35">
        <f t="shared" si="13"/>
        <v>0</v>
      </c>
      <c r="P88" s="35">
        <f t="shared" si="13"/>
        <v>0</v>
      </c>
      <c r="Q88" s="35">
        <f t="shared" si="13"/>
        <v>0</v>
      </c>
      <c r="R88" s="35">
        <f t="shared" si="13"/>
        <v>0</v>
      </c>
      <c r="S88" s="35">
        <f t="shared" si="13"/>
        <v>-1047</v>
      </c>
      <c r="T88" s="35">
        <f t="shared" si="13"/>
        <v>0</v>
      </c>
      <c r="U88" s="35">
        <f t="shared" si="13"/>
        <v>0</v>
      </c>
      <c r="V88" s="35">
        <f t="shared" si="13"/>
        <v>0</v>
      </c>
      <c r="W88" s="35">
        <f t="shared" si="13"/>
        <v>0</v>
      </c>
      <c r="X88" s="35">
        <f t="shared" si="13"/>
        <v>0</v>
      </c>
      <c r="Y88" s="35">
        <f t="shared" si="13"/>
        <v>0</v>
      </c>
      <c r="Z88" s="35">
        <f t="shared" si="13"/>
        <v>0</v>
      </c>
    </row>
    <row r="89" spans="2:26" x14ac:dyDescent="0.25">
      <c r="B89" s="10">
        <f t="shared" si="10"/>
        <v>43964</v>
      </c>
      <c r="C89" s="33">
        <v>12726</v>
      </c>
      <c r="D89" s="10">
        <v>43965</v>
      </c>
      <c r="E89" s="33">
        <v>12726</v>
      </c>
      <c r="F89" s="7" t="s">
        <v>14</v>
      </c>
      <c r="G89" s="12"/>
      <c r="H89" s="12">
        <v>819413</v>
      </c>
      <c r="I89" s="7" t="s">
        <v>7</v>
      </c>
      <c r="J89" s="8" t="s">
        <v>158</v>
      </c>
      <c r="L89" s="32">
        <f t="shared" si="8"/>
        <v>103662</v>
      </c>
      <c r="M89" s="32">
        <f t="shared" si="9"/>
        <v>103662</v>
      </c>
      <c r="O89" s="35">
        <f t="shared" si="13"/>
        <v>0</v>
      </c>
      <c r="P89" s="35">
        <f t="shared" si="13"/>
        <v>0</v>
      </c>
      <c r="Q89" s="35">
        <f t="shared" si="13"/>
        <v>0</v>
      </c>
      <c r="R89" s="35">
        <f t="shared" si="13"/>
        <v>0</v>
      </c>
      <c r="S89" s="35">
        <f t="shared" si="13"/>
        <v>12726</v>
      </c>
      <c r="T89" s="35">
        <f t="shared" si="13"/>
        <v>0</v>
      </c>
      <c r="U89" s="35">
        <f t="shared" si="13"/>
        <v>0</v>
      </c>
      <c r="V89" s="35">
        <f t="shared" si="13"/>
        <v>0</v>
      </c>
      <c r="W89" s="35">
        <f t="shared" si="13"/>
        <v>0</v>
      </c>
      <c r="X89" s="35">
        <f t="shared" si="13"/>
        <v>0</v>
      </c>
      <c r="Y89" s="35">
        <f t="shared" si="13"/>
        <v>0</v>
      </c>
      <c r="Z89" s="35">
        <f t="shared" si="13"/>
        <v>0</v>
      </c>
    </row>
    <row r="90" spans="2:26" x14ac:dyDescent="0.25">
      <c r="B90" s="10">
        <f t="shared" si="10"/>
        <v>43966</v>
      </c>
      <c r="C90" s="33">
        <v>13006</v>
      </c>
      <c r="D90" s="10">
        <v>43969</v>
      </c>
      <c r="E90" s="33">
        <v>13006</v>
      </c>
      <c r="F90" s="7" t="s">
        <v>14</v>
      </c>
      <c r="G90" s="12"/>
      <c r="H90" s="12">
        <v>609575</v>
      </c>
      <c r="I90" s="7" t="s">
        <v>7</v>
      </c>
      <c r="J90" s="8" t="s">
        <v>158</v>
      </c>
      <c r="L90" s="32">
        <f t="shared" si="8"/>
        <v>116668</v>
      </c>
      <c r="M90" s="32">
        <f t="shared" si="9"/>
        <v>116668</v>
      </c>
      <c r="O90" s="35">
        <f t="shared" si="13"/>
        <v>0</v>
      </c>
      <c r="P90" s="35">
        <f t="shared" si="13"/>
        <v>0</v>
      </c>
      <c r="Q90" s="35">
        <f t="shared" si="13"/>
        <v>0</v>
      </c>
      <c r="R90" s="35">
        <f t="shared" si="13"/>
        <v>0</v>
      </c>
      <c r="S90" s="35">
        <f t="shared" si="13"/>
        <v>13006</v>
      </c>
      <c r="T90" s="35">
        <f t="shared" si="13"/>
        <v>0</v>
      </c>
      <c r="U90" s="35">
        <f t="shared" si="13"/>
        <v>0</v>
      </c>
      <c r="V90" s="35">
        <f t="shared" si="13"/>
        <v>0</v>
      </c>
      <c r="W90" s="35">
        <f t="shared" si="13"/>
        <v>0</v>
      </c>
      <c r="X90" s="35">
        <f t="shared" si="13"/>
        <v>0</v>
      </c>
      <c r="Y90" s="35">
        <f t="shared" si="13"/>
        <v>0</v>
      </c>
      <c r="Z90" s="35">
        <f t="shared" si="13"/>
        <v>0</v>
      </c>
    </row>
    <row r="91" spans="2:26" x14ac:dyDescent="0.25">
      <c r="B91" s="10">
        <f t="shared" si="10"/>
        <v>43968</v>
      </c>
      <c r="C91" s="33">
        <v>5579</v>
      </c>
      <c r="D91" s="10">
        <v>43970</v>
      </c>
      <c r="E91" s="33">
        <v>5579</v>
      </c>
      <c r="F91" s="7" t="s">
        <v>16</v>
      </c>
      <c r="G91" s="12"/>
      <c r="H91" s="12">
        <v>172621</v>
      </c>
      <c r="I91" s="7" t="s">
        <v>7</v>
      </c>
      <c r="J91" s="8" t="s">
        <v>158</v>
      </c>
      <c r="L91" s="32">
        <f t="shared" ref="L91:L128" si="14">C91+L90</f>
        <v>122247</v>
      </c>
      <c r="M91" s="32">
        <f t="shared" ref="M91:M128" si="15">E91+M90</f>
        <v>122247</v>
      </c>
      <c r="O91" s="35">
        <f t="shared" si="13"/>
        <v>0</v>
      </c>
      <c r="P91" s="35">
        <f t="shared" si="13"/>
        <v>0</v>
      </c>
      <c r="Q91" s="35">
        <f t="shared" si="13"/>
        <v>0</v>
      </c>
      <c r="R91" s="35">
        <f t="shared" si="13"/>
        <v>0</v>
      </c>
      <c r="S91" s="35">
        <f t="shared" si="13"/>
        <v>5579</v>
      </c>
      <c r="T91" s="35">
        <f t="shared" si="13"/>
        <v>0</v>
      </c>
      <c r="U91" s="35">
        <f t="shared" si="13"/>
        <v>0</v>
      </c>
      <c r="V91" s="35">
        <f t="shared" si="13"/>
        <v>0</v>
      </c>
      <c r="W91" s="35">
        <f t="shared" si="13"/>
        <v>0</v>
      </c>
      <c r="X91" s="35">
        <f t="shared" ref="O91:Z112" si="16">IF($D91="","",IF(MONTH($D91)=X$7,$E91,0))</f>
        <v>0</v>
      </c>
      <c r="Y91" s="35">
        <f t="shared" si="16"/>
        <v>0</v>
      </c>
      <c r="Z91" s="35">
        <f t="shared" si="16"/>
        <v>0</v>
      </c>
    </row>
    <row r="92" spans="2:26" x14ac:dyDescent="0.25">
      <c r="B92" s="10">
        <f t="shared" ref="B92:B128" si="17">B91+2</f>
        <v>43970</v>
      </c>
      <c r="C92" s="33">
        <v>-896</v>
      </c>
      <c r="D92" s="10">
        <v>43972</v>
      </c>
      <c r="E92" s="33">
        <v>-896</v>
      </c>
      <c r="F92" s="7" t="s">
        <v>16</v>
      </c>
      <c r="G92" s="12">
        <v>7737108</v>
      </c>
      <c r="H92" s="12"/>
      <c r="I92" s="7" t="s">
        <v>51</v>
      </c>
      <c r="J92" s="8"/>
      <c r="L92" s="32">
        <f t="shared" si="14"/>
        <v>121351</v>
      </c>
      <c r="M92" s="32">
        <f t="shared" si="15"/>
        <v>121351</v>
      </c>
      <c r="O92" s="35">
        <f t="shared" si="16"/>
        <v>0</v>
      </c>
      <c r="P92" s="35">
        <f t="shared" si="16"/>
        <v>0</v>
      </c>
      <c r="Q92" s="35">
        <f t="shared" si="16"/>
        <v>0</v>
      </c>
      <c r="R92" s="35">
        <f t="shared" si="16"/>
        <v>0</v>
      </c>
      <c r="S92" s="35">
        <f t="shared" si="16"/>
        <v>-896</v>
      </c>
      <c r="T92" s="35">
        <f t="shared" si="16"/>
        <v>0</v>
      </c>
      <c r="U92" s="35">
        <f t="shared" si="16"/>
        <v>0</v>
      </c>
      <c r="V92" s="35">
        <f t="shared" si="16"/>
        <v>0</v>
      </c>
      <c r="W92" s="35">
        <f t="shared" si="16"/>
        <v>0</v>
      </c>
      <c r="X92" s="35">
        <f t="shared" si="16"/>
        <v>0</v>
      </c>
      <c r="Y92" s="35">
        <f t="shared" si="16"/>
        <v>0</v>
      </c>
      <c r="Z92" s="35">
        <f t="shared" si="16"/>
        <v>0</v>
      </c>
    </row>
    <row r="93" spans="2:26" x14ac:dyDescent="0.25">
      <c r="B93" s="10">
        <f t="shared" si="17"/>
        <v>43972</v>
      </c>
      <c r="C93" s="33">
        <v>-1319</v>
      </c>
      <c r="D93" s="10">
        <v>43973</v>
      </c>
      <c r="E93" s="33">
        <v>-1319</v>
      </c>
      <c r="F93" s="7" t="s">
        <v>14</v>
      </c>
      <c r="G93" s="12">
        <v>7813161.2000000002</v>
      </c>
      <c r="H93" s="12"/>
      <c r="I93" s="7" t="s">
        <v>53</v>
      </c>
      <c r="J93" s="8"/>
      <c r="L93" s="32">
        <f t="shared" si="14"/>
        <v>120032</v>
      </c>
      <c r="M93" s="32">
        <f t="shared" si="15"/>
        <v>120032</v>
      </c>
      <c r="O93" s="35">
        <f t="shared" si="16"/>
        <v>0</v>
      </c>
      <c r="P93" s="35">
        <f t="shared" si="16"/>
        <v>0</v>
      </c>
      <c r="Q93" s="35">
        <f t="shared" si="16"/>
        <v>0</v>
      </c>
      <c r="R93" s="35">
        <f t="shared" si="16"/>
        <v>0</v>
      </c>
      <c r="S93" s="35">
        <f t="shared" si="16"/>
        <v>-1319</v>
      </c>
      <c r="T93" s="35">
        <f t="shared" si="16"/>
        <v>0</v>
      </c>
      <c r="U93" s="35">
        <f t="shared" si="16"/>
        <v>0</v>
      </c>
      <c r="V93" s="35">
        <f t="shared" si="16"/>
        <v>0</v>
      </c>
      <c r="W93" s="35">
        <f t="shared" si="16"/>
        <v>0</v>
      </c>
      <c r="X93" s="35">
        <f t="shared" si="16"/>
        <v>0</v>
      </c>
      <c r="Y93" s="35">
        <f t="shared" si="16"/>
        <v>0</v>
      </c>
      <c r="Z93" s="35">
        <f t="shared" si="16"/>
        <v>0</v>
      </c>
    </row>
    <row r="94" spans="2:26" x14ac:dyDescent="0.25">
      <c r="B94" s="10">
        <f t="shared" si="17"/>
        <v>43974</v>
      </c>
      <c r="C94" s="33">
        <v>6978</v>
      </c>
      <c r="D94" s="10">
        <v>43976</v>
      </c>
      <c r="E94" s="33">
        <v>6978</v>
      </c>
      <c r="F94" s="7" t="s">
        <v>14</v>
      </c>
      <c r="G94" s="12"/>
      <c r="H94" s="12">
        <v>489260</v>
      </c>
      <c r="I94" s="7" t="s">
        <v>10</v>
      </c>
      <c r="J94" s="8" t="s">
        <v>158</v>
      </c>
      <c r="L94" s="32">
        <f t="shared" si="14"/>
        <v>127010</v>
      </c>
      <c r="M94" s="32">
        <f t="shared" si="15"/>
        <v>127010</v>
      </c>
      <c r="O94" s="35">
        <f t="shared" si="16"/>
        <v>0</v>
      </c>
      <c r="P94" s="35">
        <f t="shared" si="16"/>
        <v>0</v>
      </c>
      <c r="Q94" s="35">
        <f t="shared" si="16"/>
        <v>0</v>
      </c>
      <c r="R94" s="35">
        <f t="shared" si="16"/>
        <v>0</v>
      </c>
      <c r="S94" s="35">
        <f t="shared" si="16"/>
        <v>6978</v>
      </c>
      <c r="T94" s="35">
        <f t="shared" si="16"/>
        <v>0</v>
      </c>
      <c r="U94" s="35">
        <f t="shared" si="16"/>
        <v>0</v>
      </c>
      <c r="V94" s="35">
        <f t="shared" si="16"/>
        <v>0</v>
      </c>
      <c r="W94" s="35">
        <f t="shared" si="16"/>
        <v>0</v>
      </c>
      <c r="X94" s="35">
        <f t="shared" si="16"/>
        <v>0</v>
      </c>
      <c r="Y94" s="35">
        <f t="shared" si="16"/>
        <v>0</v>
      </c>
      <c r="Z94" s="35">
        <f t="shared" si="16"/>
        <v>0</v>
      </c>
    </row>
    <row r="95" spans="2:26" x14ac:dyDescent="0.25">
      <c r="B95" s="10">
        <f t="shared" si="17"/>
        <v>43976</v>
      </c>
      <c r="C95" s="33">
        <v>3579</v>
      </c>
      <c r="D95" s="10">
        <v>43978</v>
      </c>
      <c r="E95" s="33">
        <v>3579</v>
      </c>
      <c r="F95" s="7" t="s">
        <v>16</v>
      </c>
      <c r="G95" s="12"/>
      <c r="H95" s="12">
        <v>819413</v>
      </c>
      <c r="I95" s="7" t="s">
        <v>103</v>
      </c>
      <c r="J95" s="8" t="s">
        <v>158</v>
      </c>
      <c r="L95" s="32">
        <f t="shared" si="14"/>
        <v>130589</v>
      </c>
      <c r="M95" s="32">
        <f t="shared" si="15"/>
        <v>130589</v>
      </c>
      <c r="O95" s="35">
        <f t="shared" si="16"/>
        <v>0</v>
      </c>
      <c r="P95" s="35">
        <f t="shared" si="16"/>
        <v>0</v>
      </c>
      <c r="Q95" s="35">
        <f t="shared" si="16"/>
        <v>0</v>
      </c>
      <c r="R95" s="35">
        <f t="shared" si="16"/>
        <v>0</v>
      </c>
      <c r="S95" s="35">
        <f t="shared" si="16"/>
        <v>3579</v>
      </c>
      <c r="T95" s="35">
        <f t="shared" si="16"/>
        <v>0</v>
      </c>
      <c r="U95" s="35">
        <f t="shared" si="16"/>
        <v>0</v>
      </c>
      <c r="V95" s="35">
        <f t="shared" si="16"/>
        <v>0</v>
      </c>
      <c r="W95" s="35">
        <f t="shared" si="16"/>
        <v>0</v>
      </c>
      <c r="X95" s="35">
        <f t="shared" si="16"/>
        <v>0</v>
      </c>
      <c r="Y95" s="35">
        <f t="shared" si="16"/>
        <v>0</v>
      </c>
      <c r="Z95" s="35">
        <f t="shared" si="16"/>
        <v>0</v>
      </c>
    </row>
    <row r="96" spans="2:26" x14ac:dyDescent="0.25">
      <c r="B96" s="10">
        <f t="shared" si="17"/>
        <v>43978</v>
      </c>
      <c r="C96" s="33">
        <v>5263</v>
      </c>
      <c r="D96" s="10">
        <v>43980</v>
      </c>
      <c r="E96" s="33">
        <v>5263</v>
      </c>
      <c r="F96" s="7" t="s">
        <v>16</v>
      </c>
      <c r="G96" s="12"/>
      <c r="H96" s="12">
        <v>609575</v>
      </c>
      <c r="I96" s="7" t="s">
        <v>10</v>
      </c>
      <c r="J96" s="8" t="s">
        <v>158</v>
      </c>
      <c r="L96" s="32">
        <f t="shared" si="14"/>
        <v>135852</v>
      </c>
      <c r="M96" s="32">
        <f t="shared" si="15"/>
        <v>135852</v>
      </c>
      <c r="O96" s="35">
        <f t="shared" si="16"/>
        <v>0</v>
      </c>
      <c r="P96" s="35">
        <f t="shared" si="16"/>
        <v>0</v>
      </c>
      <c r="Q96" s="35">
        <f t="shared" si="16"/>
        <v>0</v>
      </c>
      <c r="R96" s="35">
        <f t="shared" si="16"/>
        <v>0</v>
      </c>
      <c r="S96" s="35">
        <f t="shared" si="16"/>
        <v>5263</v>
      </c>
      <c r="T96" s="35">
        <f t="shared" si="16"/>
        <v>0</v>
      </c>
      <c r="U96" s="35">
        <f t="shared" si="16"/>
        <v>0</v>
      </c>
      <c r="V96" s="35">
        <f t="shared" si="16"/>
        <v>0</v>
      </c>
      <c r="W96" s="35">
        <f t="shared" si="16"/>
        <v>0</v>
      </c>
      <c r="X96" s="35">
        <f t="shared" si="16"/>
        <v>0</v>
      </c>
      <c r="Y96" s="35">
        <f t="shared" si="16"/>
        <v>0</v>
      </c>
      <c r="Z96" s="35">
        <f t="shared" si="16"/>
        <v>0</v>
      </c>
    </row>
    <row r="97" spans="2:26" x14ac:dyDescent="0.25">
      <c r="B97" s="10">
        <f t="shared" si="17"/>
        <v>43980</v>
      </c>
      <c r="C97" s="33">
        <v>6435</v>
      </c>
      <c r="D97" s="10">
        <v>43982</v>
      </c>
      <c r="E97" s="33">
        <v>6435</v>
      </c>
      <c r="F97" s="7" t="s">
        <v>14</v>
      </c>
      <c r="G97" s="12"/>
      <c r="H97" s="12">
        <v>172621</v>
      </c>
      <c r="I97" s="7" t="s">
        <v>10</v>
      </c>
      <c r="J97" s="8" t="s">
        <v>161</v>
      </c>
      <c r="L97" s="32">
        <f t="shared" si="14"/>
        <v>142287</v>
      </c>
      <c r="M97" s="32">
        <f t="shared" si="15"/>
        <v>142287</v>
      </c>
      <c r="O97" s="35">
        <f t="shared" si="16"/>
        <v>0</v>
      </c>
      <c r="P97" s="35">
        <f t="shared" si="16"/>
        <v>0</v>
      </c>
      <c r="Q97" s="35">
        <f t="shared" si="16"/>
        <v>0</v>
      </c>
      <c r="R97" s="35">
        <f t="shared" si="16"/>
        <v>0</v>
      </c>
      <c r="S97" s="35">
        <f t="shared" si="16"/>
        <v>6435</v>
      </c>
      <c r="T97" s="35">
        <f t="shared" si="16"/>
        <v>0</v>
      </c>
      <c r="U97" s="35">
        <f t="shared" si="16"/>
        <v>0</v>
      </c>
      <c r="V97" s="35">
        <f t="shared" si="16"/>
        <v>0</v>
      </c>
      <c r="W97" s="35">
        <f t="shared" si="16"/>
        <v>0</v>
      </c>
      <c r="X97" s="35">
        <f t="shared" si="16"/>
        <v>0</v>
      </c>
      <c r="Y97" s="35">
        <f t="shared" si="16"/>
        <v>0</v>
      </c>
      <c r="Z97" s="35">
        <f t="shared" si="16"/>
        <v>0</v>
      </c>
    </row>
    <row r="98" spans="2:26" x14ac:dyDescent="0.25">
      <c r="B98" s="10">
        <f t="shared" si="17"/>
        <v>43982</v>
      </c>
      <c r="C98" s="33">
        <v>-1516</v>
      </c>
      <c r="D98" s="10">
        <v>43983</v>
      </c>
      <c r="E98" s="33">
        <v>-1516</v>
      </c>
      <c r="F98" s="7" t="s">
        <v>14</v>
      </c>
      <c r="G98" s="12">
        <v>7737108</v>
      </c>
      <c r="H98" s="12"/>
      <c r="I98" s="7" t="s">
        <v>49</v>
      </c>
      <c r="J98" s="8"/>
      <c r="L98" s="32">
        <f t="shared" si="14"/>
        <v>140771</v>
      </c>
      <c r="M98" s="32">
        <f t="shared" si="15"/>
        <v>140771</v>
      </c>
      <c r="O98" s="35">
        <f t="shared" si="16"/>
        <v>0</v>
      </c>
      <c r="P98" s="35">
        <f t="shared" si="16"/>
        <v>0</v>
      </c>
      <c r="Q98" s="35">
        <f t="shared" si="16"/>
        <v>0</v>
      </c>
      <c r="R98" s="35">
        <f t="shared" si="16"/>
        <v>0</v>
      </c>
      <c r="S98" s="35">
        <f t="shared" si="16"/>
        <v>0</v>
      </c>
      <c r="T98" s="35">
        <f t="shared" si="16"/>
        <v>-1516</v>
      </c>
      <c r="U98" s="35">
        <f t="shared" si="16"/>
        <v>0</v>
      </c>
      <c r="V98" s="35">
        <f t="shared" si="16"/>
        <v>0</v>
      </c>
      <c r="W98" s="35">
        <f t="shared" si="16"/>
        <v>0</v>
      </c>
      <c r="X98" s="35">
        <f t="shared" si="16"/>
        <v>0</v>
      </c>
      <c r="Y98" s="35">
        <f t="shared" si="16"/>
        <v>0</v>
      </c>
      <c r="Z98" s="35">
        <f t="shared" si="16"/>
        <v>0</v>
      </c>
    </row>
    <row r="99" spans="2:26" x14ac:dyDescent="0.25">
      <c r="B99" s="10">
        <f t="shared" si="17"/>
        <v>43984</v>
      </c>
      <c r="C99" s="33">
        <v>-586</v>
      </c>
      <c r="D99" s="10">
        <v>43985</v>
      </c>
      <c r="E99" s="33">
        <v>-586</v>
      </c>
      <c r="F99" s="7" t="s">
        <v>14</v>
      </c>
      <c r="G99" s="12">
        <v>7813161.2000000002</v>
      </c>
      <c r="H99" s="12"/>
      <c r="I99" s="7" t="s">
        <v>55</v>
      </c>
      <c r="J99" s="8"/>
      <c r="L99" s="32">
        <f t="shared" si="14"/>
        <v>140185</v>
      </c>
      <c r="M99" s="32">
        <f t="shared" si="15"/>
        <v>140185</v>
      </c>
      <c r="O99" s="35">
        <f t="shared" si="16"/>
        <v>0</v>
      </c>
      <c r="P99" s="35">
        <f t="shared" si="16"/>
        <v>0</v>
      </c>
      <c r="Q99" s="35">
        <f t="shared" si="16"/>
        <v>0</v>
      </c>
      <c r="R99" s="35">
        <f t="shared" si="16"/>
        <v>0</v>
      </c>
      <c r="S99" s="35">
        <f t="shared" si="16"/>
        <v>0</v>
      </c>
      <c r="T99" s="35">
        <f t="shared" si="16"/>
        <v>-586</v>
      </c>
      <c r="U99" s="35">
        <f t="shared" si="16"/>
        <v>0</v>
      </c>
      <c r="V99" s="35">
        <f t="shared" si="16"/>
        <v>0</v>
      </c>
      <c r="W99" s="35">
        <f t="shared" si="16"/>
        <v>0</v>
      </c>
      <c r="X99" s="35">
        <f t="shared" si="16"/>
        <v>0</v>
      </c>
      <c r="Y99" s="35">
        <f t="shared" si="16"/>
        <v>0</v>
      </c>
      <c r="Z99" s="35">
        <f t="shared" si="16"/>
        <v>0</v>
      </c>
    </row>
    <row r="100" spans="2:26" x14ac:dyDescent="0.25">
      <c r="B100" s="10">
        <f t="shared" si="17"/>
        <v>43986</v>
      </c>
      <c r="C100" s="33">
        <v>11353</v>
      </c>
      <c r="D100" s="10">
        <v>43988</v>
      </c>
      <c r="E100" s="33">
        <v>11353</v>
      </c>
      <c r="F100" s="7" t="s">
        <v>14</v>
      </c>
      <c r="G100" s="12"/>
      <c r="H100" s="12">
        <v>489260</v>
      </c>
      <c r="I100" s="7" t="s">
        <v>10</v>
      </c>
      <c r="J100" s="8" t="s">
        <v>158</v>
      </c>
      <c r="L100" s="32">
        <f t="shared" si="14"/>
        <v>151538</v>
      </c>
      <c r="M100" s="32">
        <f t="shared" si="15"/>
        <v>151538</v>
      </c>
      <c r="O100" s="35">
        <f t="shared" si="16"/>
        <v>0</v>
      </c>
      <c r="P100" s="35">
        <f t="shared" si="16"/>
        <v>0</v>
      </c>
      <c r="Q100" s="35">
        <f t="shared" si="16"/>
        <v>0</v>
      </c>
      <c r="R100" s="35">
        <f t="shared" si="16"/>
        <v>0</v>
      </c>
      <c r="S100" s="35">
        <f t="shared" si="16"/>
        <v>0</v>
      </c>
      <c r="T100" s="35">
        <f t="shared" si="16"/>
        <v>11353</v>
      </c>
      <c r="U100" s="35">
        <f t="shared" si="16"/>
        <v>0</v>
      </c>
      <c r="V100" s="35">
        <f t="shared" si="16"/>
        <v>0</v>
      </c>
      <c r="W100" s="35">
        <f t="shared" si="16"/>
        <v>0</v>
      </c>
      <c r="X100" s="35">
        <f t="shared" si="16"/>
        <v>0</v>
      </c>
      <c r="Y100" s="35">
        <f t="shared" si="16"/>
        <v>0</v>
      </c>
      <c r="Z100" s="35">
        <f t="shared" si="16"/>
        <v>0</v>
      </c>
    </row>
    <row r="101" spans="2:26" x14ac:dyDescent="0.25">
      <c r="B101" s="10">
        <f t="shared" si="17"/>
        <v>43988</v>
      </c>
      <c r="C101" s="33">
        <v>13562</v>
      </c>
      <c r="D101" s="10">
        <v>43990</v>
      </c>
      <c r="E101" s="33">
        <v>13562</v>
      </c>
      <c r="F101" s="7" t="s">
        <v>14</v>
      </c>
      <c r="G101" s="12"/>
      <c r="H101" s="12">
        <v>819413</v>
      </c>
      <c r="I101" s="7" t="s">
        <v>10</v>
      </c>
      <c r="J101" s="8" t="s">
        <v>158</v>
      </c>
      <c r="L101" s="32">
        <f t="shared" si="14"/>
        <v>165100</v>
      </c>
      <c r="M101" s="32">
        <f t="shared" si="15"/>
        <v>165100</v>
      </c>
      <c r="O101" s="35">
        <f t="shared" si="16"/>
        <v>0</v>
      </c>
      <c r="P101" s="35">
        <f t="shared" si="16"/>
        <v>0</v>
      </c>
      <c r="Q101" s="35">
        <f t="shared" si="16"/>
        <v>0</v>
      </c>
      <c r="R101" s="35">
        <f t="shared" si="16"/>
        <v>0</v>
      </c>
      <c r="S101" s="35">
        <f t="shared" si="16"/>
        <v>0</v>
      </c>
      <c r="T101" s="35">
        <f t="shared" si="16"/>
        <v>13562</v>
      </c>
      <c r="U101" s="35">
        <f t="shared" si="16"/>
        <v>0</v>
      </c>
      <c r="V101" s="35">
        <f t="shared" si="16"/>
        <v>0</v>
      </c>
      <c r="W101" s="35">
        <f t="shared" si="16"/>
        <v>0</v>
      </c>
      <c r="X101" s="35">
        <f t="shared" si="16"/>
        <v>0</v>
      </c>
      <c r="Y101" s="35">
        <f t="shared" si="16"/>
        <v>0</v>
      </c>
      <c r="Z101" s="35">
        <f t="shared" si="16"/>
        <v>0</v>
      </c>
    </row>
    <row r="102" spans="2:26" x14ac:dyDescent="0.25">
      <c r="B102" s="10">
        <f t="shared" si="17"/>
        <v>43990</v>
      </c>
      <c r="C102" s="33">
        <v>7775</v>
      </c>
      <c r="D102" s="10">
        <v>43992</v>
      </c>
      <c r="E102" s="33">
        <v>7775</v>
      </c>
      <c r="F102" s="7" t="s">
        <v>12</v>
      </c>
      <c r="G102" s="12"/>
      <c r="H102" s="12">
        <v>609575</v>
      </c>
      <c r="I102" s="7" t="s">
        <v>7</v>
      </c>
      <c r="J102" s="8" t="s">
        <v>158</v>
      </c>
      <c r="L102" s="32">
        <f t="shared" si="14"/>
        <v>172875</v>
      </c>
      <c r="M102" s="32">
        <f t="shared" si="15"/>
        <v>172875</v>
      </c>
      <c r="O102" s="35">
        <f t="shared" si="16"/>
        <v>0</v>
      </c>
      <c r="P102" s="35">
        <f t="shared" si="16"/>
        <v>0</v>
      </c>
      <c r="Q102" s="35">
        <f t="shared" si="16"/>
        <v>0</v>
      </c>
      <c r="R102" s="35">
        <f t="shared" si="16"/>
        <v>0</v>
      </c>
      <c r="S102" s="35">
        <f t="shared" si="16"/>
        <v>0</v>
      </c>
      <c r="T102" s="35">
        <f t="shared" si="16"/>
        <v>7775</v>
      </c>
      <c r="U102" s="35">
        <f t="shared" si="16"/>
        <v>0</v>
      </c>
      <c r="V102" s="35">
        <f t="shared" si="16"/>
        <v>0</v>
      </c>
      <c r="W102" s="35">
        <f t="shared" si="16"/>
        <v>0</v>
      </c>
      <c r="X102" s="35">
        <f t="shared" si="16"/>
        <v>0</v>
      </c>
      <c r="Y102" s="35">
        <f t="shared" si="16"/>
        <v>0</v>
      </c>
      <c r="Z102" s="35">
        <f t="shared" si="16"/>
        <v>0</v>
      </c>
    </row>
    <row r="103" spans="2:26" x14ac:dyDescent="0.25">
      <c r="B103" s="10">
        <f t="shared" si="17"/>
        <v>43992</v>
      </c>
      <c r="C103" s="33">
        <v>9763</v>
      </c>
      <c r="D103" s="10">
        <v>43995</v>
      </c>
      <c r="E103" s="33">
        <v>9763</v>
      </c>
      <c r="F103" s="7" t="s">
        <v>14</v>
      </c>
      <c r="G103" s="12"/>
      <c r="H103" s="12">
        <v>172621</v>
      </c>
      <c r="I103" s="7" t="s">
        <v>7</v>
      </c>
      <c r="J103" s="8" t="s">
        <v>158</v>
      </c>
      <c r="L103" s="32">
        <f t="shared" si="14"/>
        <v>182638</v>
      </c>
      <c r="M103" s="32">
        <f t="shared" si="15"/>
        <v>182638</v>
      </c>
      <c r="O103" s="35">
        <f t="shared" si="16"/>
        <v>0</v>
      </c>
      <c r="P103" s="35">
        <f t="shared" si="16"/>
        <v>0</v>
      </c>
      <c r="Q103" s="35">
        <f t="shared" si="16"/>
        <v>0</v>
      </c>
      <c r="R103" s="35">
        <f t="shared" si="16"/>
        <v>0</v>
      </c>
      <c r="S103" s="35">
        <f t="shared" si="16"/>
        <v>0</v>
      </c>
      <c r="T103" s="35">
        <f t="shared" si="16"/>
        <v>9763</v>
      </c>
      <c r="U103" s="35">
        <f t="shared" si="16"/>
        <v>0</v>
      </c>
      <c r="V103" s="35">
        <f t="shared" si="16"/>
        <v>0</v>
      </c>
      <c r="W103" s="35">
        <f t="shared" si="16"/>
        <v>0</v>
      </c>
      <c r="X103" s="35">
        <f t="shared" si="16"/>
        <v>0</v>
      </c>
      <c r="Y103" s="35">
        <f t="shared" si="16"/>
        <v>0</v>
      </c>
      <c r="Z103" s="35">
        <f t="shared" si="16"/>
        <v>0</v>
      </c>
    </row>
    <row r="104" spans="2:26" x14ac:dyDescent="0.25">
      <c r="B104" s="10">
        <f t="shared" si="17"/>
        <v>43994</v>
      </c>
      <c r="C104" s="33">
        <v>-2030</v>
      </c>
      <c r="D104" s="10">
        <v>43997</v>
      </c>
      <c r="E104" s="33">
        <v>-2030</v>
      </c>
      <c r="F104" s="7" t="s">
        <v>16</v>
      </c>
      <c r="G104" s="12">
        <v>7737108</v>
      </c>
      <c r="H104" s="12"/>
      <c r="I104" s="7" t="s">
        <v>55</v>
      </c>
      <c r="J104" s="8"/>
      <c r="L104" s="32">
        <f t="shared" si="14"/>
        <v>180608</v>
      </c>
      <c r="M104" s="32">
        <f t="shared" si="15"/>
        <v>180608</v>
      </c>
      <c r="O104" s="35">
        <f t="shared" si="16"/>
        <v>0</v>
      </c>
      <c r="P104" s="35">
        <f t="shared" si="16"/>
        <v>0</v>
      </c>
      <c r="Q104" s="35">
        <f t="shared" si="16"/>
        <v>0</v>
      </c>
      <c r="R104" s="35">
        <f t="shared" si="16"/>
        <v>0</v>
      </c>
      <c r="S104" s="35">
        <f t="shared" si="16"/>
        <v>0</v>
      </c>
      <c r="T104" s="35">
        <f t="shared" si="16"/>
        <v>-2030</v>
      </c>
      <c r="U104" s="35">
        <f t="shared" si="16"/>
        <v>0</v>
      </c>
      <c r="V104" s="35">
        <f t="shared" si="16"/>
        <v>0</v>
      </c>
      <c r="W104" s="35">
        <f t="shared" si="16"/>
        <v>0</v>
      </c>
      <c r="X104" s="35">
        <f t="shared" si="16"/>
        <v>0</v>
      </c>
      <c r="Y104" s="35">
        <f t="shared" si="16"/>
        <v>0</v>
      </c>
      <c r="Z104" s="35">
        <f t="shared" si="16"/>
        <v>0</v>
      </c>
    </row>
    <row r="105" spans="2:26" x14ac:dyDescent="0.25">
      <c r="B105" s="10">
        <f t="shared" si="17"/>
        <v>43996</v>
      </c>
      <c r="C105" s="33">
        <v>-2396</v>
      </c>
      <c r="D105" s="10">
        <v>43998</v>
      </c>
      <c r="E105" s="33">
        <v>-2396</v>
      </c>
      <c r="F105" s="7" t="s">
        <v>14</v>
      </c>
      <c r="G105" s="12">
        <v>7813161.2000000002</v>
      </c>
      <c r="H105" s="12"/>
      <c r="I105" s="7" t="s">
        <v>71</v>
      </c>
      <c r="J105" s="8"/>
      <c r="L105" s="32">
        <f t="shared" si="14"/>
        <v>178212</v>
      </c>
      <c r="M105" s="32">
        <f t="shared" si="15"/>
        <v>178212</v>
      </c>
      <c r="O105" s="35">
        <f t="shared" si="16"/>
        <v>0</v>
      </c>
      <c r="P105" s="35">
        <f t="shared" si="16"/>
        <v>0</v>
      </c>
      <c r="Q105" s="35">
        <f t="shared" si="16"/>
        <v>0</v>
      </c>
      <c r="R105" s="35">
        <f t="shared" si="16"/>
        <v>0</v>
      </c>
      <c r="S105" s="35">
        <f t="shared" si="16"/>
        <v>0</v>
      </c>
      <c r="T105" s="35">
        <f t="shared" si="16"/>
        <v>-2396</v>
      </c>
      <c r="U105" s="35">
        <f t="shared" si="16"/>
        <v>0</v>
      </c>
      <c r="V105" s="35">
        <f t="shared" si="16"/>
        <v>0</v>
      </c>
      <c r="W105" s="35">
        <f t="shared" si="16"/>
        <v>0</v>
      </c>
      <c r="X105" s="35">
        <f t="shared" si="16"/>
        <v>0</v>
      </c>
      <c r="Y105" s="35">
        <f t="shared" si="16"/>
        <v>0</v>
      </c>
      <c r="Z105" s="35">
        <f t="shared" si="16"/>
        <v>0</v>
      </c>
    </row>
    <row r="106" spans="2:26" x14ac:dyDescent="0.25">
      <c r="B106" s="10">
        <f t="shared" si="17"/>
        <v>43998</v>
      </c>
      <c r="C106" s="33">
        <v>3983</v>
      </c>
      <c r="D106" s="10">
        <v>44001</v>
      </c>
      <c r="E106" s="33">
        <v>3983</v>
      </c>
      <c r="F106" s="7" t="s">
        <v>14</v>
      </c>
      <c r="G106" s="12"/>
      <c r="H106" s="12">
        <v>489260</v>
      </c>
      <c r="I106" s="7" t="s">
        <v>7</v>
      </c>
      <c r="J106" s="8" t="s">
        <v>158</v>
      </c>
      <c r="L106" s="32">
        <f t="shared" si="14"/>
        <v>182195</v>
      </c>
      <c r="M106" s="32">
        <f t="shared" si="15"/>
        <v>182195</v>
      </c>
      <c r="O106" s="35">
        <f t="shared" si="16"/>
        <v>0</v>
      </c>
      <c r="P106" s="35">
        <f t="shared" si="16"/>
        <v>0</v>
      </c>
      <c r="Q106" s="35">
        <f t="shared" si="16"/>
        <v>0</v>
      </c>
      <c r="R106" s="35">
        <f t="shared" si="16"/>
        <v>0</v>
      </c>
      <c r="S106" s="35">
        <f t="shared" si="16"/>
        <v>0</v>
      </c>
      <c r="T106" s="35">
        <f t="shared" si="16"/>
        <v>3983</v>
      </c>
      <c r="U106" s="35">
        <f t="shared" si="16"/>
        <v>0</v>
      </c>
      <c r="V106" s="35">
        <f t="shared" si="16"/>
        <v>0</v>
      </c>
      <c r="W106" s="35">
        <f t="shared" si="16"/>
        <v>0</v>
      </c>
      <c r="X106" s="35">
        <f t="shared" si="16"/>
        <v>0</v>
      </c>
      <c r="Y106" s="35">
        <f t="shared" si="16"/>
        <v>0</v>
      </c>
      <c r="Z106" s="35">
        <f t="shared" si="16"/>
        <v>0</v>
      </c>
    </row>
    <row r="107" spans="2:26" x14ac:dyDescent="0.25">
      <c r="B107" s="10">
        <f t="shared" si="17"/>
        <v>44000</v>
      </c>
      <c r="C107" s="33">
        <v>14509</v>
      </c>
      <c r="D107" s="10">
        <v>44003</v>
      </c>
      <c r="E107" s="33">
        <v>14509</v>
      </c>
      <c r="F107" s="7" t="s">
        <v>14</v>
      </c>
      <c r="G107" s="12"/>
      <c r="H107" s="12">
        <v>819413</v>
      </c>
      <c r="I107" s="7" t="s">
        <v>7</v>
      </c>
      <c r="J107" s="8" t="s">
        <v>161</v>
      </c>
      <c r="L107" s="32">
        <f t="shared" si="14"/>
        <v>196704</v>
      </c>
      <c r="M107" s="32">
        <f t="shared" si="15"/>
        <v>196704</v>
      </c>
      <c r="O107" s="35">
        <f t="shared" si="16"/>
        <v>0</v>
      </c>
      <c r="P107" s="35">
        <f t="shared" si="16"/>
        <v>0</v>
      </c>
      <c r="Q107" s="35">
        <f t="shared" si="16"/>
        <v>0</v>
      </c>
      <c r="R107" s="35">
        <f t="shared" si="16"/>
        <v>0</v>
      </c>
      <c r="S107" s="35">
        <f t="shared" si="16"/>
        <v>0</v>
      </c>
      <c r="T107" s="35">
        <f t="shared" si="16"/>
        <v>14509</v>
      </c>
      <c r="U107" s="35">
        <f t="shared" si="16"/>
        <v>0</v>
      </c>
      <c r="V107" s="35">
        <f t="shared" si="16"/>
        <v>0</v>
      </c>
      <c r="W107" s="35">
        <f t="shared" si="16"/>
        <v>0</v>
      </c>
      <c r="X107" s="35">
        <f t="shared" si="16"/>
        <v>0</v>
      </c>
      <c r="Y107" s="35">
        <f t="shared" si="16"/>
        <v>0</v>
      </c>
      <c r="Z107" s="35">
        <f t="shared" si="16"/>
        <v>0</v>
      </c>
    </row>
    <row r="108" spans="2:26" x14ac:dyDescent="0.25">
      <c r="B108" s="10">
        <f t="shared" si="17"/>
        <v>44002</v>
      </c>
      <c r="C108" s="33">
        <v>8187</v>
      </c>
      <c r="D108" s="10">
        <v>44004</v>
      </c>
      <c r="E108" s="33">
        <v>8187</v>
      </c>
      <c r="F108" s="7" t="s">
        <v>16</v>
      </c>
      <c r="G108" s="12"/>
      <c r="H108" s="12">
        <v>609575</v>
      </c>
      <c r="I108" s="7" t="s">
        <v>10</v>
      </c>
      <c r="J108" s="8" t="s">
        <v>158</v>
      </c>
      <c r="L108" s="32">
        <f t="shared" si="14"/>
        <v>204891</v>
      </c>
      <c r="M108" s="32">
        <f t="shared" si="15"/>
        <v>204891</v>
      </c>
      <c r="O108" s="35">
        <f t="shared" si="16"/>
        <v>0</v>
      </c>
      <c r="P108" s="35">
        <f t="shared" si="16"/>
        <v>0</v>
      </c>
      <c r="Q108" s="35">
        <f t="shared" si="16"/>
        <v>0</v>
      </c>
      <c r="R108" s="35">
        <f t="shared" si="16"/>
        <v>0</v>
      </c>
      <c r="S108" s="35">
        <f t="shared" si="16"/>
        <v>0</v>
      </c>
      <c r="T108" s="35">
        <f t="shared" si="16"/>
        <v>8187</v>
      </c>
      <c r="U108" s="35">
        <f t="shared" si="16"/>
        <v>0</v>
      </c>
      <c r="V108" s="35">
        <f t="shared" si="16"/>
        <v>0</v>
      </c>
      <c r="W108" s="35">
        <f t="shared" si="16"/>
        <v>0</v>
      </c>
      <c r="X108" s="35">
        <f t="shared" si="16"/>
        <v>0</v>
      </c>
      <c r="Y108" s="35">
        <f t="shared" si="16"/>
        <v>0</v>
      </c>
      <c r="Z108" s="35">
        <f t="shared" si="16"/>
        <v>0</v>
      </c>
    </row>
    <row r="109" spans="2:26" x14ac:dyDescent="0.25">
      <c r="B109" s="10">
        <f t="shared" si="17"/>
        <v>44004</v>
      </c>
      <c r="C109" s="33">
        <v>10312</v>
      </c>
      <c r="D109" s="10">
        <v>44007</v>
      </c>
      <c r="E109" s="33">
        <v>10312</v>
      </c>
      <c r="F109" s="7" t="s">
        <v>16</v>
      </c>
      <c r="G109" s="12"/>
      <c r="H109" s="12">
        <v>172621</v>
      </c>
      <c r="I109" s="7" t="s">
        <v>103</v>
      </c>
      <c r="J109" s="8" t="s">
        <v>158</v>
      </c>
      <c r="L109" s="32">
        <f t="shared" si="14"/>
        <v>215203</v>
      </c>
      <c r="M109" s="32">
        <f t="shared" si="15"/>
        <v>215203</v>
      </c>
      <c r="O109" s="35">
        <f t="shared" si="16"/>
        <v>0</v>
      </c>
      <c r="P109" s="35">
        <f t="shared" si="16"/>
        <v>0</v>
      </c>
      <c r="Q109" s="35">
        <f t="shared" si="16"/>
        <v>0</v>
      </c>
      <c r="R109" s="35">
        <f t="shared" si="16"/>
        <v>0</v>
      </c>
      <c r="S109" s="35">
        <f t="shared" si="16"/>
        <v>0</v>
      </c>
      <c r="T109" s="35">
        <f t="shared" si="16"/>
        <v>10312</v>
      </c>
      <c r="U109" s="35">
        <f t="shared" si="16"/>
        <v>0</v>
      </c>
      <c r="V109" s="35">
        <f t="shared" si="16"/>
        <v>0</v>
      </c>
      <c r="W109" s="35">
        <f t="shared" si="16"/>
        <v>0</v>
      </c>
      <c r="X109" s="35">
        <f t="shared" si="16"/>
        <v>0</v>
      </c>
      <c r="Y109" s="35">
        <f t="shared" si="16"/>
        <v>0</v>
      </c>
      <c r="Z109" s="35">
        <f t="shared" si="16"/>
        <v>0</v>
      </c>
    </row>
    <row r="110" spans="2:26" x14ac:dyDescent="0.25">
      <c r="B110" s="10">
        <f t="shared" si="17"/>
        <v>44006</v>
      </c>
      <c r="C110" s="33">
        <v>-1555</v>
      </c>
      <c r="D110" s="10">
        <v>44007</v>
      </c>
      <c r="E110" s="33">
        <v>-1555</v>
      </c>
      <c r="F110" s="7" t="s">
        <v>12</v>
      </c>
      <c r="G110" s="12">
        <v>7737108</v>
      </c>
      <c r="H110" s="12"/>
      <c r="I110" s="7" t="s">
        <v>49</v>
      </c>
      <c r="J110" s="8"/>
      <c r="L110" s="32">
        <f t="shared" si="14"/>
        <v>213648</v>
      </c>
      <c r="M110" s="32">
        <f t="shared" si="15"/>
        <v>213648</v>
      </c>
      <c r="O110" s="35">
        <f t="shared" si="16"/>
        <v>0</v>
      </c>
      <c r="P110" s="35">
        <f t="shared" si="16"/>
        <v>0</v>
      </c>
      <c r="Q110" s="35">
        <f t="shared" si="16"/>
        <v>0</v>
      </c>
      <c r="R110" s="35">
        <f t="shared" si="16"/>
        <v>0</v>
      </c>
      <c r="S110" s="35">
        <f t="shared" si="16"/>
        <v>0</v>
      </c>
      <c r="T110" s="35">
        <f t="shared" si="16"/>
        <v>-1555</v>
      </c>
      <c r="U110" s="35">
        <f t="shared" si="16"/>
        <v>0</v>
      </c>
      <c r="V110" s="35">
        <f t="shared" si="16"/>
        <v>0</v>
      </c>
      <c r="W110" s="35">
        <f t="shared" si="16"/>
        <v>0</v>
      </c>
      <c r="X110" s="35">
        <f t="shared" si="16"/>
        <v>0</v>
      </c>
      <c r="Y110" s="35">
        <f t="shared" si="16"/>
        <v>0</v>
      </c>
      <c r="Z110" s="35">
        <f t="shared" si="16"/>
        <v>0</v>
      </c>
    </row>
    <row r="111" spans="2:26" x14ac:dyDescent="0.25">
      <c r="B111" s="10">
        <f t="shared" si="17"/>
        <v>44008</v>
      </c>
      <c r="C111" s="33">
        <v>-1458</v>
      </c>
      <c r="D111" s="10">
        <v>44010</v>
      </c>
      <c r="E111" s="33">
        <v>-1458</v>
      </c>
      <c r="F111" s="7" t="s">
        <v>14</v>
      </c>
      <c r="G111" s="12">
        <v>7813161.2000000002</v>
      </c>
      <c r="H111" s="12"/>
      <c r="I111" s="7" t="s">
        <v>55</v>
      </c>
      <c r="J111" s="8"/>
      <c r="L111" s="32">
        <f t="shared" si="14"/>
        <v>212190</v>
      </c>
      <c r="M111" s="32">
        <f t="shared" si="15"/>
        <v>212190</v>
      </c>
      <c r="O111" s="35">
        <f t="shared" si="16"/>
        <v>0</v>
      </c>
      <c r="P111" s="35">
        <f t="shared" si="16"/>
        <v>0</v>
      </c>
      <c r="Q111" s="35">
        <f t="shared" si="16"/>
        <v>0</v>
      </c>
      <c r="R111" s="35">
        <f t="shared" si="16"/>
        <v>0</v>
      </c>
      <c r="S111" s="35">
        <f t="shared" si="16"/>
        <v>0</v>
      </c>
      <c r="T111" s="35">
        <f t="shared" si="16"/>
        <v>-1458</v>
      </c>
      <c r="U111" s="35">
        <f t="shared" si="16"/>
        <v>0</v>
      </c>
      <c r="V111" s="35">
        <f t="shared" si="16"/>
        <v>0</v>
      </c>
      <c r="W111" s="35">
        <f t="shared" si="16"/>
        <v>0</v>
      </c>
      <c r="X111" s="35">
        <f t="shared" si="16"/>
        <v>0</v>
      </c>
      <c r="Y111" s="35">
        <f t="shared" si="16"/>
        <v>0</v>
      </c>
      <c r="Z111" s="35">
        <f t="shared" si="16"/>
        <v>0</v>
      </c>
    </row>
    <row r="112" spans="2:26" x14ac:dyDescent="0.25">
      <c r="B112" s="10">
        <f t="shared" si="17"/>
        <v>44010</v>
      </c>
      <c r="C112" s="33">
        <v>11928</v>
      </c>
      <c r="D112" s="10">
        <v>44012</v>
      </c>
      <c r="E112" s="33">
        <v>11928</v>
      </c>
      <c r="F112" s="7" t="s">
        <v>16</v>
      </c>
      <c r="G112" s="12"/>
      <c r="H112" s="12">
        <v>489260</v>
      </c>
      <c r="I112" s="7" t="s">
        <v>103</v>
      </c>
      <c r="J112" s="8" t="s">
        <v>158</v>
      </c>
      <c r="L112" s="32">
        <f t="shared" si="14"/>
        <v>224118</v>
      </c>
      <c r="M112" s="32">
        <f t="shared" si="15"/>
        <v>224118</v>
      </c>
      <c r="O112" s="35">
        <f t="shared" si="16"/>
        <v>0</v>
      </c>
      <c r="P112" s="35">
        <f t="shared" si="16"/>
        <v>0</v>
      </c>
      <c r="Q112" s="35">
        <f t="shared" si="16"/>
        <v>0</v>
      </c>
      <c r="R112" s="35">
        <f t="shared" si="16"/>
        <v>0</v>
      </c>
      <c r="S112" s="35">
        <f t="shared" si="16"/>
        <v>0</v>
      </c>
      <c r="T112" s="35">
        <f t="shared" si="16"/>
        <v>11928</v>
      </c>
      <c r="U112" s="35">
        <f t="shared" si="16"/>
        <v>0</v>
      </c>
      <c r="V112" s="35">
        <f t="shared" si="16"/>
        <v>0</v>
      </c>
      <c r="W112" s="35">
        <f t="shared" si="16"/>
        <v>0</v>
      </c>
      <c r="X112" s="35">
        <f t="shared" si="16"/>
        <v>0</v>
      </c>
      <c r="Y112" s="35">
        <f t="shared" si="16"/>
        <v>0</v>
      </c>
      <c r="Z112" s="35">
        <f t="shared" si="16"/>
        <v>0</v>
      </c>
    </row>
    <row r="113" spans="2:26" x14ac:dyDescent="0.25">
      <c r="B113" s="10">
        <f t="shared" si="17"/>
        <v>44012</v>
      </c>
      <c r="C113" s="33">
        <v>4009</v>
      </c>
      <c r="D113" s="10">
        <v>44015</v>
      </c>
      <c r="E113" s="33">
        <v>4009</v>
      </c>
      <c r="F113" s="7" t="s">
        <v>14</v>
      </c>
      <c r="G113" s="12"/>
      <c r="H113" s="12">
        <v>609575</v>
      </c>
      <c r="I113" s="7" t="s">
        <v>103</v>
      </c>
      <c r="J113" s="8" t="s">
        <v>161</v>
      </c>
      <c r="L113" s="32">
        <f t="shared" si="14"/>
        <v>228127</v>
      </c>
      <c r="M113" s="32">
        <f t="shared" si="15"/>
        <v>228127</v>
      </c>
      <c r="O113" s="35">
        <f t="shared" ref="O113:Z128" si="18">IF($D113="","",IF(MONTH($D113)=O$7,$E113,0))</f>
        <v>0</v>
      </c>
      <c r="P113" s="35">
        <f t="shared" si="18"/>
        <v>0</v>
      </c>
      <c r="Q113" s="35">
        <f t="shared" si="18"/>
        <v>0</v>
      </c>
      <c r="R113" s="35">
        <f t="shared" si="18"/>
        <v>0</v>
      </c>
      <c r="S113" s="35">
        <f t="shared" si="18"/>
        <v>0</v>
      </c>
      <c r="T113" s="35">
        <f t="shared" si="18"/>
        <v>0</v>
      </c>
      <c r="U113" s="35">
        <f t="shared" si="18"/>
        <v>4009</v>
      </c>
      <c r="V113" s="35">
        <f t="shared" si="18"/>
        <v>0</v>
      </c>
      <c r="W113" s="35">
        <f t="shared" si="18"/>
        <v>0</v>
      </c>
      <c r="X113" s="35">
        <f t="shared" si="18"/>
        <v>0</v>
      </c>
      <c r="Y113" s="35">
        <f t="shared" si="18"/>
        <v>0</v>
      </c>
      <c r="Z113" s="35">
        <f t="shared" si="18"/>
        <v>0</v>
      </c>
    </row>
    <row r="114" spans="2:26" x14ac:dyDescent="0.25">
      <c r="B114" s="10">
        <f t="shared" si="17"/>
        <v>44014</v>
      </c>
      <c r="C114" s="33">
        <v>3060</v>
      </c>
      <c r="D114" s="10">
        <v>44016</v>
      </c>
      <c r="E114" s="33">
        <v>3060</v>
      </c>
      <c r="F114" s="7" t="s">
        <v>14</v>
      </c>
      <c r="G114" s="12"/>
      <c r="H114" s="12">
        <v>172621</v>
      </c>
      <c r="I114" s="7" t="s">
        <v>103</v>
      </c>
      <c r="J114" s="8" t="s">
        <v>158</v>
      </c>
      <c r="L114" s="32">
        <f t="shared" si="14"/>
        <v>231187</v>
      </c>
      <c r="M114" s="32">
        <f t="shared" si="15"/>
        <v>231187</v>
      </c>
      <c r="O114" s="35">
        <f t="shared" si="18"/>
        <v>0</v>
      </c>
      <c r="P114" s="35">
        <f t="shared" si="18"/>
        <v>0</v>
      </c>
      <c r="Q114" s="35">
        <f t="shared" si="18"/>
        <v>0</v>
      </c>
      <c r="R114" s="35">
        <f t="shared" si="18"/>
        <v>0</v>
      </c>
      <c r="S114" s="35">
        <f t="shared" si="18"/>
        <v>0</v>
      </c>
      <c r="T114" s="35">
        <f t="shared" si="18"/>
        <v>0</v>
      </c>
      <c r="U114" s="35">
        <f t="shared" si="18"/>
        <v>3060</v>
      </c>
      <c r="V114" s="35">
        <f t="shared" si="18"/>
        <v>0</v>
      </c>
      <c r="W114" s="35">
        <f t="shared" si="18"/>
        <v>0</v>
      </c>
      <c r="X114" s="35">
        <f t="shared" si="18"/>
        <v>0</v>
      </c>
      <c r="Y114" s="35">
        <f t="shared" si="18"/>
        <v>0</v>
      </c>
      <c r="Z114" s="35">
        <f t="shared" si="18"/>
        <v>0</v>
      </c>
    </row>
    <row r="115" spans="2:26" x14ac:dyDescent="0.25">
      <c r="B115" s="10">
        <f t="shared" si="17"/>
        <v>44016</v>
      </c>
      <c r="C115" s="33">
        <v>-1593</v>
      </c>
      <c r="D115" s="10">
        <v>44019</v>
      </c>
      <c r="E115" s="33">
        <v>-1593</v>
      </c>
      <c r="F115" s="7" t="s">
        <v>14</v>
      </c>
      <c r="G115" s="12">
        <v>7737108</v>
      </c>
      <c r="H115" s="12"/>
      <c r="I115" s="7" t="s">
        <v>53</v>
      </c>
      <c r="J115" s="8"/>
      <c r="L115" s="32">
        <f t="shared" si="14"/>
        <v>229594</v>
      </c>
      <c r="M115" s="32">
        <f t="shared" si="15"/>
        <v>229594</v>
      </c>
      <c r="O115" s="35">
        <f t="shared" si="18"/>
        <v>0</v>
      </c>
      <c r="P115" s="35">
        <f t="shared" si="18"/>
        <v>0</v>
      </c>
      <c r="Q115" s="35">
        <f t="shared" si="18"/>
        <v>0</v>
      </c>
      <c r="R115" s="35">
        <f t="shared" si="18"/>
        <v>0</v>
      </c>
      <c r="S115" s="35">
        <f t="shared" si="18"/>
        <v>0</v>
      </c>
      <c r="T115" s="35">
        <f t="shared" si="18"/>
        <v>0</v>
      </c>
      <c r="U115" s="35">
        <f t="shared" si="18"/>
        <v>-1593</v>
      </c>
      <c r="V115" s="35">
        <f t="shared" si="18"/>
        <v>0</v>
      </c>
      <c r="W115" s="35">
        <f t="shared" si="18"/>
        <v>0</v>
      </c>
      <c r="X115" s="35">
        <f t="shared" si="18"/>
        <v>0</v>
      </c>
      <c r="Y115" s="35">
        <f t="shared" si="18"/>
        <v>0</v>
      </c>
      <c r="Z115" s="35">
        <f t="shared" si="18"/>
        <v>0</v>
      </c>
    </row>
    <row r="116" spans="2:26" x14ac:dyDescent="0.25">
      <c r="B116" s="10">
        <f t="shared" si="17"/>
        <v>44018</v>
      </c>
      <c r="C116" s="33">
        <v>-257</v>
      </c>
      <c r="D116" s="10">
        <v>44021</v>
      </c>
      <c r="E116" s="33">
        <v>-257</v>
      </c>
      <c r="F116" s="7" t="s">
        <v>16</v>
      </c>
      <c r="G116" s="12">
        <v>7813161.2000000002</v>
      </c>
      <c r="H116" s="12"/>
      <c r="I116" s="7" t="s">
        <v>55</v>
      </c>
      <c r="J116" s="8"/>
      <c r="L116" s="32">
        <f t="shared" si="14"/>
        <v>229337</v>
      </c>
      <c r="M116" s="32">
        <f t="shared" si="15"/>
        <v>229337</v>
      </c>
      <c r="O116" s="35">
        <f t="shared" si="18"/>
        <v>0</v>
      </c>
      <c r="P116" s="35">
        <f t="shared" si="18"/>
        <v>0</v>
      </c>
      <c r="Q116" s="35">
        <f t="shared" si="18"/>
        <v>0</v>
      </c>
      <c r="R116" s="35">
        <f t="shared" si="18"/>
        <v>0</v>
      </c>
      <c r="S116" s="35">
        <f t="shared" si="18"/>
        <v>0</v>
      </c>
      <c r="T116" s="35">
        <f t="shared" si="18"/>
        <v>0</v>
      </c>
      <c r="U116" s="35">
        <f t="shared" si="18"/>
        <v>-257</v>
      </c>
      <c r="V116" s="35">
        <f t="shared" si="18"/>
        <v>0</v>
      </c>
      <c r="W116" s="35">
        <f t="shared" si="18"/>
        <v>0</v>
      </c>
      <c r="X116" s="35">
        <f t="shared" si="18"/>
        <v>0</v>
      </c>
      <c r="Y116" s="35">
        <f t="shared" si="18"/>
        <v>0</v>
      </c>
      <c r="Z116" s="35">
        <f t="shared" si="18"/>
        <v>0</v>
      </c>
    </row>
    <row r="117" spans="2:26" x14ac:dyDescent="0.25">
      <c r="B117" s="10">
        <f t="shared" si="17"/>
        <v>44020</v>
      </c>
      <c r="C117" s="33">
        <v>7701</v>
      </c>
      <c r="D117" s="10">
        <v>44023</v>
      </c>
      <c r="E117" s="33">
        <v>7701</v>
      </c>
      <c r="F117" s="7" t="s">
        <v>16</v>
      </c>
      <c r="G117" s="12"/>
      <c r="H117" s="12">
        <v>489260</v>
      </c>
      <c r="I117" s="7" t="s">
        <v>103</v>
      </c>
      <c r="J117" s="8" t="s">
        <v>158</v>
      </c>
      <c r="L117" s="32">
        <f t="shared" si="14"/>
        <v>237038</v>
      </c>
      <c r="M117" s="32">
        <f t="shared" si="15"/>
        <v>237038</v>
      </c>
      <c r="O117" s="35">
        <f t="shared" si="18"/>
        <v>0</v>
      </c>
      <c r="P117" s="35">
        <f t="shared" si="18"/>
        <v>0</v>
      </c>
      <c r="Q117" s="35">
        <f t="shared" si="18"/>
        <v>0</v>
      </c>
      <c r="R117" s="35">
        <f t="shared" si="18"/>
        <v>0</v>
      </c>
      <c r="S117" s="35">
        <f t="shared" si="18"/>
        <v>0</v>
      </c>
      <c r="T117" s="35">
        <f t="shared" si="18"/>
        <v>0</v>
      </c>
      <c r="U117" s="35">
        <f t="shared" si="18"/>
        <v>7701</v>
      </c>
      <c r="V117" s="35">
        <f t="shared" si="18"/>
        <v>0</v>
      </c>
      <c r="W117" s="35">
        <f t="shared" si="18"/>
        <v>0</v>
      </c>
      <c r="X117" s="35">
        <f t="shared" si="18"/>
        <v>0</v>
      </c>
      <c r="Y117" s="35">
        <f t="shared" si="18"/>
        <v>0</v>
      </c>
      <c r="Z117" s="35">
        <f t="shared" si="18"/>
        <v>0</v>
      </c>
    </row>
    <row r="118" spans="2:26" x14ac:dyDescent="0.25">
      <c r="B118" s="10">
        <f t="shared" si="17"/>
        <v>44022</v>
      </c>
      <c r="C118" s="33">
        <v>14029</v>
      </c>
      <c r="D118" s="10">
        <v>44023</v>
      </c>
      <c r="E118" s="33">
        <v>14029</v>
      </c>
      <c r="F118" s="7" t="s">
        <v>14</v>
      </c>
      <c r="G118" s="12"/>
      <c r="H118" s="12">
        <v>819413</v>
      </c>
      <c r="I118" s="7" t="s">
        <v>103</v>
      </c>
      <c r="J118" s="8" t="s">
        <v>161</v>
      </c>
      <c r="L118" s="32">
        <f t="shared" si="14"/>
        <v>251067</v>
      </c>
      <c r="M118" s="32">
        <f t="shared" si="15"/>
        <v>251067</v>
      </c>
      <c r="O118" s="35">
        <f t="shared" si="18"/>
        <v>0</v>
      </c>
      <c r="P118" s="35">
        <f t="shared" si="18"/>
        <v>0</v>
      </c>
      <c r="Q118" s="35">
        <f t="shared" si="18"/>
        <v>0</v>
      </c>
      <c r="R118" s="35">
        <f t="shared" si="18"/>
        <v>0</v>
      </c>
      <c r="S118" s="35">
        <f t="shared" si="18"/>
        <v>0</v>
      </c>
      <c r="T118" s="35">
        <f t="shared" si="18"/>
        <v>0</v>
      </c>
      <c r="U118" s="35">
        <f t="shared" si="18"/>
        <v>14029</v>
      </c>
      <c r="V118" s="35">
        <f t="shared" si="18"/>
        <v>0</v>
      </c>
      <c r="W118" s="35">
        <f t="shared" si="18"/>
        <v>0</v>
      </c>
      <c r="X118" s="35">
        <f t="shared" si="18"/>
        <v>0</v>
      </c>
      <c r="Y118" s="35">
        <f t="shared" si="18"/>
        <v>0</v>
      </c>
      <c r="Z118" s="35">
        <f t="shared" si="18"/>
        <v>0</v>
      </c>
    </row>
    <row r="119" spans="2:26" x14ac:dyDescent="0.25">
      <c r="B119" s="10">
        <f t="shared" si="17"/>
        <v>44024</v>
      </c>
      <c r="C119" s="33">
        <v>8541</v>
      </c>
      <c r="D119" s="10">
        <v>44027</v>
      </c>
      <c r="E119" s="33">
        <v>8541</v>
      </c>
      <c r="F119" s="7" t="s">
        <v>14</v>
      </c>
      <c r="G119" s="12"/>
      <c r="H119" s="12">
        <v>609575</v>
      </c>
      <c r="I119" s="7" t="s">
        <v>7</v>
      </c>
      <c r="J119" s="8" t="s">
        <v>158</v>
      </c>
      <c r="L119" s="32">
        <f t="shared" si="14"/>
        <v>259608</v>
      </c>
      <c r="M119" s="32">
        <f t="shared" si="15"/>
        <v>259608</v>
      </c>
      <c r="O119" s="35">
        <f t="shared" si="18"/>
        <v>0</v>
      </c>
      <c r="P119" s="35">
        <f t="shared" si="18"/>
        <v>0</v>
      </c>
      <c r="Q119" s="35">
        <f t="shared" si="18"/>
        <v>0</v>
      </c>
      <c r="R119" s="35">
        <f t="shared" si="18"/>
        <v>0</v>
      </c>
      <c r="S119" s="35">
        <f t="shared" si="18"/>
        <v>0</v>
      </c>
      <c r="T119" s="35">
        <f t="shared" si="18"/>
        <v>0</v>
      </c>
      <c r="U119" s="35">
        <f t="shared" si="18"/>
        <v>8541</v>
      </c>
      <c r="V119" s="35">
        <f t="shared" si="18"/>
        <v>0</v>
      </c>
      <c r="W119" s="35">
        <f t="shared" si="18"/>
        <v>0</v>
      </c>
      <c r="X119" s="35">
        <f t="shared" si="18"/>
        <v>0</v>
      </c>
      <c r="Y119" s="35">
        <f t="shared" si="18"/>
        <v>0</v>
      </c>
      <c r="Z119" s="35">
        <f t="shared" si="18"/>
        <v>0</v>
      </c>
    </row>
    <row r="120" spans="2:26" x14ac:dyDescent="0.25">
      <c r="B120" s="10">
        <f t="shared" si="17"/>
        <v>44026</v>
      </c>
      <c r="C120" s="33">
        <v>2114</v>
      </c>
      <c r="D120" s="10">
        <v>44028</v>
      </c>
      <c r="E120" s="33">
        <v>2114</v>
      </c>
      <c r="F120" s="7" t="s">
        <v>14</v>
      </c>
      <c r="G120" s="12"/>
      <c r="H120" s="12">
        <v>172621</v>
      </c>
      <c r="I120" s="7" t="s">
        <v>7</v>
      </c>
      <c r="J120" s="8" t="s">
        <v>158</v>
      </c>
      <c r="L120" s="32">
        <f t="shared" si="14"/>
        <v>261722</v>
      </c>
      <c r="M120" s="32">
        <f t="shared" si="15"/>
        <v>261722</v>
      </c>
      <c r="O120" s="35">
        <f t="shared" si="18"/>
        <v>0</v>
      </c>
      <c r="P120" s="35">
        <f t="shared" si="18"/>
        <v>0</v>
      </c>
      <c r="Q120" s="35">
        <f t="shared" si="18"/>
        <v>0</v>
      </c>
      <c r="R120" s="35">
        <f t="shared" si="18"/>
        <v>0</v>
      </c>
      <c r="S120" s="35">
        <f t="shared" si="18"/>
        <v>0</v>
      </c>
      <c r="T120" s="35">
        <f t="shared" si="18"/>
        <v>0</v>
      </c>
      <c r="U120" s="35">
        <f t="shared" si="18"/>
        <v>2114</v>
      </c>
      <c r="V120" s="35">
        <f t="shared" si="18"/>
        <v>0</v>
      </c>
      <c r="W120" s="35">
        <f t="shared" si="18"/>
        <v>0</v>
      </c>
      <c r="X120" s="35">
        <f t="shared" si="18"/>
        <v>0</v>
      </c>
      <c r="Y120" s="35">
        <f t="shared" si="18"/>
        <v>0</v>
      </c>
      <c r="Z120" s="35">
        <f t="shared" si="18"/>
        <v>0</v>
      </c>
    </row>
    <row r="121" spans="2:26" x14ac:dyDescent="0.25">
      <c r="B121" s="10">
        <f t="shared" si="17"/>
        <v>44028</v>
      </c>
      <c r="C121" s="33">
        <v>-1978</v>
      </c>
      <c r="D121" s="10">
        <v>44031</v>
      </c>
      <c r="E121" s="33">
        <v>-1978</v>
      </c>
      <c r="F121" s="7" t="s">
        <v>14</v>
      </c>
      <c r="G121" s="12">
        <v>7737108</v>
      </c>
      <c r="H121" s="12"/>
      <c r="I121" s="7" t="s">
        <v>53</v>
      </c>
      <c r="J121" s="8"/>
      <c r="L121" s="32">
        <f t="shared" si="14"/>
        <v>259744</v>
      </c>
      <c r="M121" s="32">
        <f t="shared" si="15"/>
        <v>259744</v>
      </c>
      <c r="O121" s="35">
        <f t="shared" si="18"/>
        <v>0</v>
      </c>
      <c r="P121" s="35">
        <f t="shared" si="18"/>
        <v>0</v>
      </c>
      <c r="Q121" s="35">
        <f t="shared" si="18"/>
        <v>0</v>
      </c>
      <c r="R121" s="35">
        <f t="shared" si="18"/>
        <v>0</v>
      </c>
      <c r="S121" s="35">
        <f t="shared" si="18"/>
        <v>0</v>
      </c>
      <c r="T121" s="35">
        <f t="shared" si="18"/>
        <v>0</v>
      </c>
      <c r="U121" s="35">
        <f t="shared" si="18"/>
        <v>-1978</v>
      </c>
      <c r="V121" s="35">
        <f t="shared" si="18"/>
        <v>0</v>
      </c>
      <c r="W121" s="35">
        <f t="shared" si="18"/>
        <v>0</v>
      </c>
      <c r="X121" s="35">
        <f t="shared" si="18"/>
        <v>0</v>
      </c>
      <c r="Y121" s="35">
        <f t="shared" si="18"/>
        <v>0</v>
      </c>
      <c r="Z121" s="35">
        <f t="shared" si="18"/>
        <v>0</v>
      </c>
    </row>
    <row r="122" spans="2:26" x14ac:dyDescent="0.25">
      <c r="B122" s="10">
        <f t="shared" si="17"/>
        <v>44030</v>
      </c>
      <c r="C122" s="33">
        <v>-627</v>
      </c>
      <c r="D122" s="10">
        <v>44031</v>
      </c>
      <c r="E122" s="33">
        <v>-627</v>
      </c>
      <c r="F122" s="7" t="s">
        <v>14</v>
      </c>
      <c r="G122" s="12">
        <v>7813161.2000000002</v>
      </c>
      <c r="H122" s="12"/>
      <c r="I122" s="7" t="s">
        <v>35</v>
      </c>
      <c r="J122" s="8"/>
      <c r="L122" s="32">
        <f t="shared" si="14"/>
        <v>259117</v>
      </c>
      <c r="M122" s="32">
        <f t="shared" si="15"/>
        <v>259117</v>
      </c>
      <c r="O122" s="35">
        <f t="shared" si="18"/>
        <v>0</v>
      </c>
      <c r="P122" s="35">
        <f t="shared" si="18"/>
        <v>0</v>
      </c>
      <c r="Q122" s="35">
        <f t="shared" si="18"/>
        <v>0</v>
      </c>
      <c r="R122" s="35">
        <f t="shared" si="18"/>
        <v>0</v>
      </c>
      <c r="S122" s="35">
        <f t="shared" si="18"/>
        <v>0</v>
      </c>
      <c r="T122" s="35">
        <f t="shared" si="18"/>
        <v>0</v>
      </c>
      <c r="U122" s="35">
        <f t="shared" si="18"/>
        <v>-627</v>
      </c>
      <c r="V122" s="35">
        <f t="shared" si="18"/>
        <v>0</v>
      </c>
      <c r="W122" s="35">
        <f t="shared" si="18"/>
        <v>0</v>
      </c>
      <c r="X122" s="35">
        <f t="shared" si="18"/>
        <v>0</v>
      </c>
      <c r="Y122" s="35">
        <f t="shared" si="18"/>
        <v>0</v>
      </c>
      <c r="Z122" s="35">
        <f t="shared" si="18"/>
        <v>0</v>
      </c>
    </row>
    <row r="123" spans="2:26" x14ac:dyDescent="0.25">
      <c r="B123" s="10">
        <f t="shared" si="17"/>
        <v>44032</v>
      </c>
      <c r="C123" s="33">
        <v>14391</v>
      </c>
      <c r="D123" s="10">
        <v>44034</v>
      </c>
      <c r="E123" s="33">
        <v>14391</v>
      </c>
      <c r="F123" s="7" t="s">
        <v>12</v>
      </c>
      <c r="G123" s="12"/>
      <c r="H123" s="12">
        <v>489260</v>
      </c>
      <c r="I123" s="7" t="s">
        <v>7</v>
      </c>
      <c r="J123" s="8" t="s">
        <v>158</v>
      </c>
      <c r="L123" s="32">
        <f t="shared" si="14"/>
        <v>273508</v>
      </c>
      <c r="M123" s="32">
        <f t="shared" si="15"/>
        <v>273508</v>
      </c>
      <c r="O123" s="35">
        <f t="shared" si="18"/>
        <v>0</v>
      </c>
      <c r="P123" s="35">
        <f t="shared" si="18"/>
        <v>0</v>
      </c>
      <c r="Q123" s="35">
        <f t="shared" si="18"/>
        <v>0</v>
      </c>
      <c r="R123" s="35">
        <f t="shared" si="18"/>
        <v>0</v>
      </c>
      <c r="S123" s="35">
        <f t="shared" si="18"/>
        <v>0</v>
      </c>
      <c r="T123" s="35">
        <f t="shared" si="18"/>
        <v>0</v>
      </c>
      <c r="U123" s="35">
        <f t="shared" si="18"/>
        <v>14391</v>
      </c>
      <c r="V123" s="35">
        <f t="shared" si="18"/>
        <v>0</v>
      </c>
      <c r="W123" s="35">
        <f t="shared" si="18"/>
        <v>0</v>
      </c>
      <c r="X123" s="35">
        <f t="shared" si="18"/>
        <v>0</v>
      </c>
      <c r="Y123" s="35">
        <f t="shared" si="18"/>
        <v>0</v>
      </c>
      <c r="Z123" s="35">
        <f t="shared" si="18"/>
        <v>0</v>
      </c>
    </row>
    <row r="124" spans="2:26" x14ac:dyDescent="0.25">
      <c r="B124" s="10">
        <f t="shared" si="17"/>
        <v>44034</v>
      </c>
      <c r="C124" s="33">
        <v>12176</v>
      </c>
      <c r="D124" s="10">
        <v>44036</v>
      </c>
      <c r="E124" s="33">
        <v>12176</v>
      </c>
      <c r="F124" s="7" t="s">
        <v>14</v>
      </c>
      <c r="G124" s="12"/>
      <c r="H124" s="12">
        <v>172621</v>
      </c>
      <c r="I124" s="7" t="s">
        <v>7</v>
      </c>
      <c r="J124" s="8" t="s">
        <v>161</v>
      </c>
      <c r="L124" s="32">
        <f t="shared" si="14"/>
        <v>285684</v>
      </c>
      <c r="M124" s="32">
        <f t="shared" si="15"/>
        <v>285684</v>
      </c>
      <c r="O124" s="35">
        <f t="shared" si="18"/>
        <v>0</v>
      </c>
      <c r="P124" s="35">
        <f t="shared" si="18"/>
        <v>0</v>
      </c>
      <c r="Q124" s="35">
        <f t="shared" si="18"/>
        <v>0</v>
      </c>
      <c r="R124" s="35">
        <f t="shared" si="18"/>
        <v>0</v>
      </c>
      <c r="S124" s="35">
        <f t="shared" si="18"/>
        <v>0</v>
      </c>
      <c r="T124" s="35">
        <f t="shared" si="18"/>
        <v>0</v>
      </c>
      <c r="U124" s="35">
        <f t="shared" si="18"/>
        <v>12176</v>
      </c>
      <c r="V124" s="35">
        <f t="shared" si="18"/>
        <v>0</v>
      </c>
      <c r="W124" s="35">
        <f t="shared" si="18"/>
        <v>0</v>
      </c>
      <c r="X124" s="35">
        <f t="shared" si="18"/>
        <v>0</v>
      </c>
      <c r="Y124" s="35">
        <f t="shared" si="18"/>
        <v>0</v>
      </c>
      <c r="Z124" s="35">
        <f t="shared" si="18"/>
        <v>0</v>
      </c>
    </row>
    <row r="125" spans="2:26" x14ac:dyDescent="0.25">
      <c r="B125" s="10">
        <f t="shared" si="17"/>
        <v>44036</v>
      </c>
      <c r="C125" s="33">
        <v>-314</v>
      </c>
      <c r="D125" s="10">
        <v>44038</v>
      </c>
      <c r="E125" s="33">
        <v>-314</v>
      </c>
      <c r="F125" s="7" t="s">
        <v>16</v>
      </c>
      <c r="G125" s="12">
        <v>7737108</v>
      </c>
      <c r="H125" s="12"/>
      <c r="I125" s="7" t="s">
        <v>47</v>
      </c>
      <c r="J125" s="8"/>
      <c r="L125" s="32">
        <f t="shared" si="14"/>
        <v>285370</v>
      </c>
      <c r="M125" s="32">
        <f t="shared" si="15"/>
        <v>285370</v>
      </c>
      <c r="O125" s="35">
        <f t="shared" si="18"/>
        <v>0</v>
      </c>
      <c r="P125" s="35">
        <f t="shared" si="18"/>
        <v>0</v>
      </c>
      <c r="Q125" s="35">
        <f t="shared" si="18"/>
        <v>0</v>
      </c>
      <c r="R125" s="35">
        <f t="shared" si="18"/>
        <v>0</v>
      </c>
      <c r="S125" s="35">
        <f t="shared" si="18"/>
        <v>0</v>
      </c>
      <c r="T125" s="35">
        <f t="shared" si="18"/>
        <v>0</v>
      </c>
      <c r="U125" s="35">
        <f t="shared" si="18"/>
        <v>-314</v>
      </c>
      <c r="V125" s="35">
        <f t="shared" si="18"/>
        <v>0</v>
      </c>
      <c r="W125" s="35">
        <f t="shared" si="18"/>
        <v>0</v>
      </c>
      <c r="X125" s="35">
        <f t="shared" si="18"/>
        <v>0</v>
      </c>
      <c r="Y125" s="35">
        <f t="shared" si="18"/>
        <v>0</v>
      </c>
      <c r="Z125" s="35">
        <f t="shared" si="18"/>
        <v>0</v>
      </c>
    </row>
    <row r="126" spans="2:26" x14ac:dyDescent="0.25">
      <c r="B126" s="10">
        <f t="shared" si="17"/>
        <v>44038</v>
      </c>
      <c r="C126" s="33">
        <v>-1737</v>
      </c>
      <c r="D126" s="10">
        <v>44039</v>
      </c>
      <c r="E126" s="33">
        <v>-1737</v>
      </c>
      <c r="F126" s="7" t="s">
        <v>14</v>
      </c>
      <c r="G126" s="12">
        <v>7813161.2000000002</v>
      </c>
      <c r="H126" s="12"/>
      <c r="I126" s="7" t="s">
        <v>35</v>
      </c>
      <c r="J126" s="8"/>
      <c r="L126" s="32">
        <f t="shared" si="14"/>
        <v>283633</v>
      </c>
      <c r="M126" s="32">
        <f t="shared" si="15"/>
        <v>283633</v>
      </c>
      <c r="O126" s="35">
        <f t="shared" si="18"/>
        <v>0</v>
      </c>
      <c r="P126" s="35">
        <f t="shared" si="18"/>
        <v>0</v>
      </c>
      <c r="Q126" s="35">
        <f t="shared" si="18"/>
        <v>0</v>
      </c>
      <c r="R126" s="35">
        <f t="shared" si="18"/>
        <v>0</v>
      </c>
      <c r="S126" s="35">
        <f t="shared" si="18"/>
        <v>0</v>
      </c>
      <c r="T126" s="35">
        <f t="shared" si="18"/>
        <v>0</v>
      </c>
      <c r="U126" s="35">
        <f t="shared" si="18"/>
        <v>-1737</v>
      </c>
      <c r="V126" s="35">
        <f t="shared" si="18"/>
        <v>0</v>
      </c>
      <c r="W126" s="35">
        <f t="shared" si="18"/>
        <v>0</v>
      </c>
      <c r="X126" s="35">
        <f t="shared" si="18"/>
        <v>0</v>
      </c>
      <c r="Y126" s="35">
        <f t="shared" si="18"/>
        <v>0</v>
      </c>
      <c r="Z126" s="35">
        <f t="shared" si="18"/>
        <v>0</v>
      </c>
    </row>
    <row r="127" spans="2:26" x14ac:dyDescent="0.25">
      <c r="B127" s="10">
        <f t="shared" si="17"/>
        <v>44040</v>
      </c>
      <c r="C127" s="33">
        <v>11472</v>
      </c>
      <c r="D127" s="10">
        <v>44042</v>
      </c>
      <c r="E127" s="33">
        <v>11472</v>
      </c>
      <c r="F127" s="7" t="s">
        <v>14</v>
      </c>
      <c r="G127" s="12"/>
      <c r="H127" s="12">
        <v>489260</v>
      </c>
      <c r="I127" s="7" t="s">
        <v>7</v>
      </c>
      <c r="J127" s="8" t="s">
        <v>158</v>
      </c>
      <c r="L127" s="32">
        <f t="shared" si="14"/>
        <v>295105</v>
      </c>
      <c r="M127" s="32">
        <f t="shared" si="15"/>
        <v>295105</v>
      </c>
      <c r="O127" s="35">
        <f t="shared" si="18"/>
        <v>0</v>
      </c>
      <c r="P127" s="35">
        <f t="shared" si="18"/>
        <v>0</v>
      </c>
      <c r="Q127" s="35">
        <f t="shared" si="18"/>
        <v>0</v>
      </c>
      <c r="R127" s="35">
        <f t="shared" si="18"/>
        <v>0</v>
      </c>
      <c r="S127" s="35">
        <f t="shared" si="18"/>
        <v>0</v>
      </c>
      <c r="T127" s="35">
        <f t="shared" si="18"/>
        <v>0</v>
      </c>
      <c r="U127" s="35">
        <f t="shared" si="18"/>
        <v>11472</v>
      </c>
      <c r="V127" s="35">
        <f t="shared" si="18"/>
        <v>0</v>
      </c>
      <c r="W127" s="35">
        <f t="shared" si="18"/>
        <v>0</v>
      </c>
      <c r="X127" s="35">
        <f t="shared" si="18"/>
        <v>0</v>
      </c>
      <c r="Y127" s="35">
        <f t="shared" si="18"/>
        <v>0</v>
      </c>
      <c r="Z127" s="35">
        <f t="shared" si="18"/>
        <v>0</v>
      </c>
    </row>
    <row r="128" spans="2:26" x14ac:dyDescent="0.25">
      <c r="B128" s="10">
        <f t="shared" si="17"/>
        <v>44042</v>
      </c>
      <c r="C128" s="33">
        <v>-1355</v>
      </c>
      <c r="D128" s="10">
        <v>44045</v>
      </c>
      <c r="E128" s="33">
        <v>-1355</v>
      </c>
      <c r="F128" s="7" t="s">
        <v>14</v>
      </c>
      <c r="G128" s="12">
        <v>7813161.2000000002</v>
      </c>
      <c r="H128" s="12"/>
      <c r="I128" s="7" t="s">
        <v>37</v>
      </c>
      <c r="J128" s="8"/>
      <c r="L128" s="32">
        <f t="shared" si="14"/>
        <v>293750</v>
      </c>
      <c r="M128" s="32">
        <f t="shared" si="15"/>
        <v>293750</v>
      </c>
      <c r="O128" s="35">
        <f t="shared" si="18"/>
        <v>0</v>
      </c>
      <c r="P128" s="35">
        <f t="shared" si="18"/>
        <v>0</v>
      </c>
      <c r="Q128" s="35">
        <f t="shared" si="18"/>
        <v>0</v>
      </c>
      <c r="R128" s="35">
        <f t="shared" si="18"/>
        <v>0</v>
      </c>
      <c r="S128" s="35">
        <f t="shared" si="18"/>
        <v>0</v>
      </c>
      <c r="T128" s="35">
        <f t="shared" si="18"/>
        <v>0</v>
      </c>
      <c r="U128" s="35">
        <f t="shared" si="18"/>
        <v>0</v>
      </c>
      <c r="V128" s="35">
        <f t="shared" si="18"/>
        <v>-1355</v>
      </c>
      <c r="W128" s="35">
        <f t="shared" si="18"/>
        <v>0</v>
      </c>
      <c r="X128" s="35">
        <f t="shared" si="18"/>
        <v>0</v>
      </c>
      <c r="Y128" s="35">
        <f t="shared" si="18"/>
        <v>0</v>
      </c>
      <c r="Z128" s="35">
        <f t="shared" si="18"/>
        <v>0</v>
      </c>
    </row>
  </sheetData>
  <autoFilter ref="A8:Z128" xr:uid="{BC946896-DDCF-4C7E-A9C7-213B97790AD6}"/>
  <phoneticPr fontId="7" type="noConversion"/>
  <conditionalFormatting sqref="O9:Z128">
    <cfRule type="cellIs" dxfId="2" priority="5" operator="equal">
      <formula>0</formula>
    </cfRule>
  </conditionalFormatting>
  <conditionalFormatting sqref="O4:Z6">
    <cfRule type="cellIs" dxfId="1" priority="4" operator="equal">
      <formula>0</formula>
    </cfRule>
  </conditionalFormatting>
  <dataValidations count="1">
    <dataValidation type="list" allowBlank="1" showInputMessage="1" showErrorMessage="1" sqref="B5" xr:uid="{F251F0CA-2A74-4430-BBC9-61CE47B60F31}">
      <formula1>$O$8:$Z$8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4200627-8B21-435C-83BD-D1AC4D12DCDD}">
          <x14:formula1>
            <xm:f>'Plano de Contas'!$B$5:$B$52</xm:f>
          </x14:formula1>
          <xm:sqref>I9:I26 I32:I35 I43:I46 I127 I51 I62 I57 I71:I74 I89:I92 I76 I94:I98 I106:I110 I112:I115 I117:I121 I123:I125 I55 I66 I100:I104</xm:sqref>
        </x14:dataValidation>
        <x14:dataValidation type="list" allowBlank="1" showInputMessage="1" showErrorMessage="1" xr:uid="{75812DBA-0BD0-4548-837F-D080760869F4}">
          <x14:formula1>
            <xm:f>'Plano de Contas'!$E$5:$E$9</xm:f>
          </x14:formula1>
          <xm:sqref>F9:F37 F126:F128 F46:F50 F64:F71 F54:F60 F75:F84 F88:F101 F105:F109 F113:F122 F41:F42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81BA-188B-4839-A18E-F87454030B6B}">
  <dimension ref="B2:W684"/>
  <sheetViews>
    <sheetView showGridLines="0" topLeftCell="I1" zoomScale="80" zoomScaleNormal="80" workbookViewId="0">
      <selection activeCell="S28" sqref="S28"/>
    </sheetView>
  </sheetViews>
  <sheetFormatPr defaultRowHeight="15" x14ac:dyDescent="0.25"/>
  <cols>
    <col min="1" max="1" width="2.7109375" customWidth="1"/>
    <col min="2" max="2" width="19.28515625" bestFit="1" customWidth="1"/>
    <col min="3" max="3" width="12.140625" bestFit="1" customWidth="1"/>
    <col min="4" max="4" width="12.7109375" bestFit="1" customWidth="1"/>
    <col min="5" max="5" width="1.7109375" customWidth="1"/>
    <col min="6" max="6" width="16.42578125" bestFit="1" customWidth="1"/>
    <col min="7" max="7" width="12.140625" bestFit="1" customWidth="1"/>
    <col min="8" max="8" width="12.7109375" bestFit="1" customWidth="1"/>
    <col min="10" max="10" width="15.42578125" customWidth="1"/>
    <col min="11" max="11" width="5.7109375" style="44" bestFit="1" customWidth="1"/>
    <col min="12" max="12" width="14.28515625" bestFit="1" customWidth="1"/>
    <col min="13" max="13" width="10.28515625" bestFit="1" customWidth="1"/>
    <col min="14" max="23" width="11.42578125" bestFit="1" customWidth="1"/>
  </cols>
  <sheetData>
    <row r="2" spans="2:23" x14ac:dyDescent="0.25">
      <c r="B2" s="29" t="s">
        <v>146</v>
      </c>
      <c r="C2" s="29" t="s">
        <v>147</v>
      </c>
      <c r="D2" s="29" t="s">
        <v>176</v>
      </c>
      <c r="F2" s="29" t="s">
        <v>148</v>
      </c>
      <c r="G2" s="29" t="s">
        <v>147</v>
      </c>
      <c r="H2" s="29" t="s">
        <v>176</v>
      </c>
      <c r="J2" s="46" t="s">
        <v>181</v>
      </c>
      <c r="K2" s="48">
        <v>1000</v>
      </c>
      <c r="L2" s="12" t="s">
        <v>109</v>
      </c>
      <c r="M2" s="12" t="s">
        <v>110</v>
      </c>
      <c r="N2" s="12" t="s">
        <v>111</v>
      </c>
      <c r="O2" s="12" t="s">
        <v>112</v>
      </c>
      <c r="P2" s="12" t="s">
        <v>113</v>
      </c>
      <c r="Q2" s="12" t="s">
        <v>114</v>
      </c>
      <c r="R2" s="12" t="s">
        <v>115</v>
      </c>
      <c r="S2" s="12" t="s">
        <v>116</v>
      </c>
      <c r="T2" s="12" t="s">
        <v>117</v>
      </c>
      <c r="U2" s="12" t="s">
        <v>118</v>
      </c>
      <c r="V2" s="12" t="s">
        <v>119</v>
      </c>
      <c r="W2" s="12" t="s">
        <v>120</v>
      </c>
    </row>
    <row r="3" spans="2:23" x14ac:dyDescent="0.25">
      <c r="B3" s="10">
        <f>Fluxo_Diário!B9</f>
        <v>43830</v>
      </c>
      <c r="C3" s="8">
        <f>SUMIF(Fluxo_Diário!$B$9:$B$1048576,Fluxo_Diário_DB!B3,Fluxo_Diário!$C$9:$C$1048576)</f>
        <v>0</v>
      </c>
      <c r="D3" s="8">
        <f>C3</f>
        <v>0</v>
      </c>
      <c r="F3" s="43">
        <f>B3</f>
        <v>43830</v>
      </c>
      <c r="G3" s="8">
        <f>SUMIF(Fluxo_Diário!$D$9:$D$1048576,Fluxo_Diário_DB!B3,Fluxo_Diário!$E$9:$E$1048576)</f>
        <v>0</v>
      </c>
      <c r="H3" s="8">
        <f>G3</f>
        <v>0</v>
      </c>
      <c r="J3" s="72" t="s">
        <v>177</v>
      </c>
      <c r="K3" s="73" t="s">
        <v>178</v>
      </c>
      <c r="L3" s="57">
        <f>Fluxo_Projetado!C55/$K$2</f>
        <v>11.68425</v>
      </c>
      <c r="M3" s="57">
        <f>Fluxo_Projetado!D55/$K$2</f>
        <v>28.4895</v>
      </c>
      <c r="N3" s="57">
        <f>Fluxo_Projetado!E55/$K$2</f>
        <v>28.794750000000001</v>
      </c>
      <c r="O3" s="57">
        <f>Fluxo_Projetado!F55/$K$2</f>
        <v>29.874500000000001</v>
      </c>
      <c r="P3" s="57">
        <f>Fluxo_Projetado!G55/$K$2</f>
        <v>29.668749999999999</v>
      </c>
      <c r="Q3" s="57">
        <f>Fluxo_Projetado!H55/$K$2</f>
        <v>29.830249999999999</v>
      </c>
      <c r="R3" s="57">
        <f>Fluxo_Projetado!I55/$K$2</f>
        <v>29.661999999999999</v>
      </c>
      <c r="S3" s="57">
        <f>Fluxo_Projetado!J55/$K$2</f>
        <v>30.197749999999999</v>
      </c>
      <c r="T3" s="57">
        <f>Fluxo_Projetado!K55/$K$2</f>
        <v>30.108499999999999</v>
      </c>
      <c r="U3" s="57">
        <f>Fluxo_Projetado!L55/$K$2</f>
        <v>29.673500000000001</v>
      </c>
      <c r="V3" s="57">
        <f>Fluxo_Projetado!M55/$K$2</f>
        <v>28.9115</v>
      </c>
      <c r="W3" s="57">
        <f>Fluxo_Projetado!N55/$K$2</f>
        <v>28.707249999999998</v>
      </c>
    </row>
    <row r="4" spans="2:23" x14ac:dyDescent="0.25">
      <c r="B4" s="10">
        <f>B3+1</f>
        <v>43831</v>
      </c>
      <c r="C4" s="8">
        <f>SUMIF(Fluxo_Diário!$B$9:$B$1048576,Fluxo_Diário_DB!B4,Fluxo_Diário!$C$9:$C$1048576)</f>
        <v>0</v>
      </c>
      <c r="D4" s="8">
        <f>C4+D3</f>
        <v>0</v>
      </c>
      <c r="F4" s="43">
        <f t="shared" ref="F4:F67" si="0">B4</f>
        <v>43831</v>
      </c>
      <c r="G4" s="8">
        <f>SUMIF(Fluxo_Diário!$D$9:$D$1048576,Fluxo_Diário_DB!B4,Fluxo_Diário!$E$9:$E$1048576)</f>
        <v>0</v>
      </c>
      <c r="H4" s="8">
        <f>G4+H3</f>
        <v>0</v>
      </c>
      <c r="J4" s="72"/>
      <c r="K4" s="73"/>
      <c r="L4" s="57">
        <f>L3</f>
        <v>11.68425</v>
      </c>
      <c r="M4" s="57">
        <f>M3+L4</f>
        <v>40.173749999999998</v>
      </c>
      <c r="N4" s="57">
        <f t="shared" ref="N4:W4" si="1">N3+M4</f>
        <v>68.968500000000006</v>
      </c>
      <c r="O4" s="57">
        <f t="shared" si="1"/>
        <v>98.843000000000004</v>
      </c>
      <c r="P4" s="57">
        <f t="shared" si="1"/>
        <v>128.51175000000001</v>
      </c>
      <c r="Q4" s="57">
        <f t="shared" si="1"/>
        <v>158.34200000000001</v>
      </c>
      <c r="R4" s="57">
        <f t="shared" si="1"/>
        <v>188.00400000000002</v>
      </c>
      <c r="S4" s="57">
        <f t="shared" si="1"/>
        <v>218.20175</v>
      </c>
      <c r="T4" s="57">
        <f t="shared" si="1"/>
        <v>248.31025</v>
      </c>
      <c r="U4" s="57">
        <f t="shared" si="1"/>
        <v>277.98374999999999</v>
      </c>
      <c r="V4" s="57">
        <f t="shared" si="1"/>
        <v>306.89524999999998</v>
      </c>
      <c r="W4" s="57">
        <f t="shared" si="1"/>
        <v>335.60249999999996</v>
      </c>
    </row>
    <row r="5" spans="2:23" x14ac:dyDescent="0.25">
      <c r="B5" s="10">
        <f t="shared" ref="B5:B68" si="2">B4+1</f>
        <v>43832</v>
      </c>
      <c r="C5" s="8">
        <f>SUMIF(Fluxo_Diário!$B$9:$B$1048576,Fluxo_Diário_DB!B5,Fluxo_Diário!$C$9:$C$1048576)</f>
        <v>0</v>
      </c>
      <c r="D5" s="8">
        <f t="shared" ref="D5:D68" si="3">C5+D4</f>
        <v>0</v>
      </c>
      <c r="F5" s="43">
        <f t="shared" si="0"/>
        <v>43832</v>
      </c>
      <c r="G5" s="8">
        <f>SUMIF(Fluxo_Diário!$D$9:$D$1048576,Fluxo_Diário_DB!B5,Fluxo_Diário!$E$9:$E$1048576)</f>
        <v>0</v>
      </c>
      <c r="H5" s="8">
        <f t="shared" ref="H5:H68" si="4">G5+H4</f>
        <v>0</v>
      </c>
      <c r="J5" s="72"/>
      <c r="K5" s="73" t="s">
        <v>179</v>
      </c>
      <c r="L5" s="57">
        <f>Fluxo_Realizado!C55/$K$2</f>
        <v>56.325000000000003</v>
      </c>
      <c r="M5" s="57">
        <f>Fluxo_Realizado!D55/$K$2</f>
        <v>19.888999999999999</v>
      </c>
      <c r="N5" s="57">
        <f>Fluxo_Realizado!E55/$K$2</f>
        <v>62.947000000000003</v>
      </c>
      <c r="O5" s="57">
        <f>Fluxo_Realizado!F55/$K$2</f>
        <v>31.838000000000001</v>
      </c>
      <c r="P5" s="57">
        <f>Fluxo_Realizado!G55/$K$2</f>
        <v>53.566000000000003</v>
      </c>
      <c r="Q5" s="57">
        <f>Fluxo_Realizado!H55/$K$2</f>
        <v>91.372</v>
      </c>
      <c r="R5" s="57">
        <f>Fluxo_Realizado!I55/$K$2</f>
        <v>77.492999999999995</v>
      </c>
      <c r="S5" s="57">
        <f>Fluxo_Realizado!J55/$K$2</f>
        <v>0</v>
      </c>
      <c r="T5" s="57">
        <f>Fluxo_Realizado!K55/$K$2</f>
        <v>0</v>
      </c>
      <c r="U5" s="57">
        <f>Fluxo_Realizado!L55/$K$2</f>
        <v>0</v>
      </c>
      <c r="V5" s="57">
        <f>Fluxo_Realizado!M55/$K$2</f>
        <v>0</v>
      </c>
      <c r="W5" s="57">
        <f>Fluxo_Realizado!N55/$K$2</f>
        <v>0</v>
      </c>
    </row>
    <row r="6" spans="2:23" x14ac:dyDescent="0.25">
      <c r="B6" s="10">
        <f t="shared" si="2"/>
        <v>43833</v>
      </c>
      <c r="C6" s="8">
        <f>SUMIF(Fluxo_Diário!$B$9:$B$1048576,Fluxo_Diário_DB!B6,Fluxo_Diário!$C$9:$C$1048576)</f>
        <v>1150</v>
      </c>
      <c r="D6" s="8">
        <f t="shared" si="3"/>
        <v>1150</v>
      </c>
      <c r="F6" s="43">
        <f t="shared" si="0"/>
        <v>43833</v>
      </c>
      <c r="G6" s="8">
        <f>SUMIF(Fluxo_Diário!$D$9:$D$1048576,Fluxo_Diário_DB!B6,Fluxo_Diário!$E$9:$E$1048576)</f>
        <v>-50</v>
      </c>
      <c r="H6" s="8">
        <f t="shared" si="4"/>
        <v>-50</v>
      </c>
      <c r="J6" s="72"/>
      <c r="K6" s="73"/>
      <c r="L6" s="57">
        <f>L5</f>
        <v>56.325000000000003</v>
      </c>
      <c r="M6" s="57">
        <f>M5+L6</f>
        <v>76.213999999999999</v>
      </c>
      <c r="N6" s="57">
        <f t="shared" ref="N6" si="5">N5+M6</f>
        <v>139.161</v>
      </c>
      <c r="O6" s="57">
        <f t="shared" ref="O6" si="6">O5+N6</f>
        <v>170.999</v>
      </c>
      <c r="P6" s="57">
        <f t="shared" ref="P6" si="7">P5+O6</f>
        <v>224.565</v>
      </c>
      <c r="Q6" s="57">
        <f t="shared" ref="Q6" si="8">Q5+P6</f>
        <v>315.93700000000001</v>
      </c>
      <c r="R6" s="57">
        <f t="shared" ref="R6" si="9">R5+Q6</f>
        <v>393.43</v>
      </c>
      <c r="S6" s="57">
        <f t="shared" ref="S6" si="10">S5+R6</f>
        <v>393.43</v>
      </c>
      <c r="T6" s="57">
        <f t="shared" ref="T6" si="11">T5+S6</f>
        <v>393.43</v>
      </c>
      <c r="U6" s="57">
        <f t="shared" ref="U6" si="12">U5+T6</f>
        <v>393.43</v>
      </c>
      <c r="V6" s="57">
        <f t="shared" ref="V6" si="13">V5+U6</f>
        <v>393.43</v>
      </c>
      <c r="W6" s="57">
        <f t="shared" ref="W6" si="14">W5+V6</f>
        <v>393.43</v>
      </c>
    </row>
    <row r="7" spans="2:23" x14ac:dyDescent="0.25">
      <c r="B7" s="10">
        <f t="shared" si="2"/>
        <v>43834</v>
      </c>
      <c r="C7" s="8">
        <f>SUMIF(Fluxo_Diário!$B$9:$B$1048576,Fluxo_Diário_DB!B7,Fluxo_Diário!$C$9:$C$1048576)</f>
        <v>-20</v>
      </c>
      <c r="D7" s="8">
        <f t="shared" si="3"/>
        <v>1130</v>
      </c>
      <c r="F7" s="43">
        <f t="shared" si="0"/>
        <v>43834</v>
      </c>
      <c r="G7" s="8">
        <f>SUMIF(Fluxo_Diário!$D$9:$D$1048576,Fluxo_Diário_DB!B7,Fluxo_Diário!$E$9:$E$1048576)</f>
        <v>1180</v>
      </c>
      <c r="H7" s="8">
        <f t="shared" si="4"/>
        <v>1130</v>
      </c>
      <c r="J7" s="72"/>
      <c r="K7" s="45" t="s">
        <v>180</v>
      </c>
      <c r="L7" s="27">
        <f>L5/L3</f>
        <v>4.8205918223249249</v>
      </c>
      <c r="M7" s="27">
        <f t="shared" ref="M7:W7" si="15">M5/M3</f>
        <v>0.69811685006756874</v>
      </c>
      <c r="N7" s="27">
        <f t="shared" si="15"/>
        <v>2.1860582224190175</v>
      </c>
      <c r="O7" s="27">
        <f t="shared" si="15"/>
        <v>1.0657249493715375</v>
      </c>
      <c r="P7" s="27">
        <f t="shared" si="15"/>
        <v>1.8054687170844745</v>
      </c>
      <c r="Q7" s="27">
        <f t="shared" si="15"/>
        <v>3.0630651771272452</v>
      </c>
      <c r="R7" s="27">
        <f t="shared" si="15"/>
        <v>2.6125345559975726</v>
      </c>
      <c r="S7" s="27">
        <f t="shared" si="15"/>
        <v>0</v>
      </c>
      <c r="T7" s="27">
        <f t="shared" si="15"/>
        <v>0</v>
      </c>
      <c r="U7" s="27">
        <f t="shared" si="15"/>
        <v>0</v>
      </c>
      <c r="V7" s="27">
        <f t="shared" si="15"/>
        <v>0</v>
      </c>
      <c r="W7" s="27">
        <f t="shared" si="15"/>
        <v>0</v>
      </c>
    </row>
    <row r="8" spans="2:23" x14ac:dyDescent="0.25">
      <c r="B8" s="10">
        <f t="shared" si="2"/>
        <v>43835</v>
      </c>
      <c r="C8" s="8">
        <f>SUMIF(Fluxo_Diário!$B$9:$B$1048576,Fluxo_Diário_DB!B8,Fluxo_Diário!$C$9:$C$1048576)</f>
        <v>6300</v>
      </c>
      <c r="D8" s="8">
        <f t="shared" si="3"/>
        <v>7430</v>
      </c>
      <c r="F8" s="43">
        <f t="shared" si="0"/>
        <v>43835</v>
      </c>
      <c r="G8" s="8">
        <f>SUMIF(Fluxo_Diário!$D$9:$D$1048576,Fluxo_Diário_DB!B8,Fluxo_Diário!$E$9:$E$1048576)</f>
        <v>0</v>
      </c>
      <c r="H8" s="8">
        <f t="shared" si="4"/>
        <v>1130</v>
      </c>
    </row>
    <row r="9" spans="2:23" x14ac:dyDescent="0.25">
      <c r="B9" s="10">
        <f t="shared" si="2"/>
        <v>43836</v>
      </c>
      <c r="C9" s="8">
        <f>SUMIF(Fluxo_Diário!$B$9:$B$1048576,Fluxo_Diário_DB!B9,Fluxo_Diário!$C$9:$C$1048576)</f>
        <v>0</v>
      </c>
      <c r="D9" s="8">
        <f t="shared" si="3"/>
        <v>7430</v>
      </c>
      <c r="F9" s="43">
        <f t="shared" si="0"/>
        <v>43836</v>
      </c>
      <c r="G9" s="8">
        <f>SUMIF(Fluxo_Diário!$D$9:$D$1048576,Fluxo_Diário_DB!B9,Fluxo_Diário!$E$9:$E$1048576)</f>
        <v>0</v>
      </c>
      <c r="H9" s="8">
        <f t="shared" si="4"/>
        <v>1130</v>
      </c>
      <c r="J9" s="72" t="s">
        <v>182</v>
      </c>
      <c r="K9" s="73" t="s">
        <v>178</v>
      </c>
      <c r="L9" s="57">
        <f>-Fluxo_Projetado!C56/$K$2</f>
        <v>11.19</v>
      </c>
      <c r="M9" s="57">
        <f>-Fluxo_Projetado!D56/$K$2</f>
        <v>11.19</v>
      </c>
      <c r="N9" s="57">
        <f>-Fluxo_Projetado!E56/$K$2</f>
        <v>11.19</v>
      </c>
      <c r="O9" s="57">
        <f>-Fluxo_Projetado!F56/$K$2</f>
        <v>11.19</v>
      </c>
      <c r="P9" s="57">
        <f>-Fluxo_Projetado!G56/$K$2</f>
        <v>11.19</v>
      </c>
      <c r="Q9" s="57">
        <f>-Fluxo_Projetado!H56/$K$2</f>
        <v>11.19</v>
      </c>
      <c r="R9" s="57">
        <f>-Fluxo_Projetado!I56/$K$2</f>
        <v>11.19</v>
      </c>
      <c r="S9" s="57">
        <f>-Fluxo_Projetado!J56/$K$2</f>
        <v>11.19</v>
      </c>
      <c r="T9" s="57">
        <f>-Fluxo_Projetado!K56/$K$2</f>
        <v>11.19</v>
      </c>
      <c r="U9" s="57">
        <f>-Fluxo_Projetado!L56/$K$2</f>
        <v>11.19</v>
      </c>
      <c r="V9" s="57">
        <f>-Fluxo_Projetado!M56/$K$2</f>
        <v>11.19</v>
      </c>
      <c r="W9" s="57">
        <f>-Fluxo_Projetado!N56/$K$2</f>
        <v>11.19</v>
      </c>
    </row>
    <row r="10" spans="2:23" x14ac:dyDescent="0.25">
      <c r="B10" s="10">
        <f t="shared" si="2"/>
        <v>43837</v>
      </c>
      <c r="C10" s="8">
        <f>SUMIF(Fluxo_Diário!$B$9:$B$1048576,Fluxo_Diário_DB!B10,Fluxo_Diário!$C$9:$C$1048576)</f>
        <v>-2505</v>
      </c>
      <c r="D10" s="8">
        <f t="shared" si="3"/>
        <v>4925</v>
      </c>
      <c r="F10" s="43">
        <f t="shared" si="0"/>
        <v>43837</v>
      </c>
      <c r="G10" s="8">
        <f>SUMIF(Fluxo_Diário!$D$9:$D$1048576,Fluxo_Diário_DB!B10,Fluxo_Diário!$E$9:$E$1048576)</f>
        <v>-2505</v>
      </c>
      <c r="H10" s="8">
        <f t="shared" si="4"/>
        <v>-1375</v>
      </c>
      <c r="J10" s="72"/>
      <c r="K10" s="73"/>
      <c r="L10" s="57">
        <f>L9</f>
        <v>11.19</v>
      </c>
      <c r="M10" s="57">
        <f>M9+L10</f>
        <v>22.38</v>
      </c>
      <c r="N10" s="57">
        <f t="shared" ref="N10" si="16">N9+M10</f>
        <v>33.57</v>
      </c>
      <c r="O10" s="57">
        <f t="shared" ref="O10" si="17">O9+N10</f>
        <v>44.76</v>
      </c>
      <c r="P10" s="57">
        <f t="shared" ref="P10" si="18">P9+O10</f>
        <v>55.949999999999996</v>
      </c>
      <c r="Q10" s="57">
        <f t="shared" ref="Q10" si="19">Q9+P10</f>
        <v>67.14</v>
      </c>
      <c r="R10" s="57">
        <f t="shared" ref="R10" si="20">R9+Q10</f>
        <v>78.33</v>
      </c>
      <c r="S10" s="57">
        <f t="shared" ref="S10" si="21">S9+R10</f>
        <v>89.52</v>
      </c>
      <c r="T10" s="57">
        <f t="shared" ref="T10" si="22">T9+S10</f>
        <v>100.71</v>
      </c>
      <c r="U10" s="57">
        <f t="shared" ref="U10" si="23">U9+T10</f>
        <v>111.89999999999999</v>
      </c>
      <c r="V10" s="57">
        <f t="shared" ref="V10" si="24">V9+U10</f>
        <v>123.08999999999999</v>
      </c>
      <c r="W10" s="57">
        <f t="shared" ref="W10" si="25">W9+V10</f>
        <v>134.28</v>
      </c>
    </row>
    <row r="11" spans="2:23" x14ac:dyDescent="0.25">
      <c r="B11" s="10">
        <f t="shared" si="2"/>
        <v>43838</v>
      </c>
      <c r="C11" s="8">
        <f>SUMIF(Fluxo_Diário!$B$9:$B$1048576,Fluxo_Diário_DB!B11,Fluxo_Diário!$C$9:$C$1048576)</f>
        <v>-500</v>
      </c>
      <c r="D11" s="8">
        <f t="shared" si="3"/>
        <v>4425</v>
      </c>
      <c r="F11" s="43">
        <f t="shared" si="0"/>
        <v>43838</v>
      </c>
      <c r="G11" s="8">
        <f>SUMIF(Fluxo_Diário!$D$9:$D$1048576,Fluxo_Diário_DB!B11,Fluxo_Diário!$E$9:$E$1048576)</f>
        <v>0</v>
      </c>
      <c r="H11" s="8">
        <f t="shared" si="4"/>
        <v>-1375</v>
      </c>
      <c r="J11" s="72"/>
      <c r="K11" s="73" t="s">
        <v>179</v>
      </c>
      <c r="L11" s="57">
        <f>-Fluxo_Realizado!C56/$K$2</f>
        <v>14.82</v>
      </c>
      <c r="M11" s="57">
        <f>-Fluxo_Realizado!D56/$K$2</f>
        <v>10.766999999999999</v>
      </c>
      <c r="N11" s="57">
        <f>-Fluxo_Realizado!E56/$K$2</f>
        <v>11.236000000000001</v>
      </c>
      <c r="O11" s="57">
        <f>-Fluxo_Realizado!F56/$K$2</f>
        <v>13.122999999999999</v>
      </c>
      <c r="P11" s="57">
        <f>-Fluxo_Realizado!G56/$K$2</f>
        <v>11.17</v>
      </c>
      <c r="Q11" s="57">
        <f>-Fluxo_Realizado!H56/$K$2</f>
        <v>7.1449999999999996</v>
      </c>
      <c r="R11" s="57">
        <f>-Fluxo_Realizado!I56/$K$2</f>
        <v>6.5060000000000002</v>
      </c>
      <c r="S11" s="57">
        <f>-Fluxo_Realizado!J56/$K$2</f>
        <v>1.355</v>
      </c>
      <c r="T11" s="57">
        <f>-Fluxo_Realizado!K56/$K$2</f>
        <v>0</v>
      </c>
      <c r="U11" s="57">
        <f>-Fluxo_Realizado!L56/$K$2</f>
        <v>0</v>
      </c>
      <c r="V11" s="57">
        <f>-Fluxo_Realizado!M56/$K$2</f>
        <v>0</v>
      </c>
      <c r="W11" s="57">
        <f>-Fluxo_Realizado!N56/$K$2</f>
        <v>0</v>
      </c>
    </row>
    <row r="12" spans="2:23" x14ac:dyDescent="0.25">
      <c r="B12" s="10">
        <f t="shared" si="2"/>
        <v>43839</v>
      </c>
      <c r="C12" s="8">
        <f>SUMIF(Fluxo_Diário!$B$9:$B$1048576,Fluxo_Diário_DB!B12,Fluxo_Diário!$C$9:$C$1048576)</f>
        <v>0</v>
      </c>
      <c r="D12" s="8">
        <f t="shared" si="3"/>
        <v>4425</v>
      </c>
      <c r="F12" s="43">
        <f t="shared" si="0"/>
        <v>43839</v>
      </c>
      <c r="G12" s="8">
        <f>SUMIF(Fluxo_Diário!$D$9:$D$1048576,Fluxo_Diário_DB!B12,Fluxo_Diário!$E$9:$E$1048576)</f>
        <v>0</v>
      </c>
      <c r="H12" s="8">
        <f t="shared" si="4"/>
        <v>-1375</v>
      </c>
      <c r="J12" s="72"/>
      <c r="K12" s="73"/>
      <c r="L12" s="57">
        <f>L11</f>
        <v>14.82</v>
      </c>
      <c r="M12" s="57">
        <f>M11+L12</f>
        <v>25.587</v>
      </c>
      <c r="N12" s="57">
        <f t="shared" ref="N12" si="26">N11+M12</f>
        <v>36.823</v>
      </c>
      <c r="O12" s="57">
        <f t="shared" ref="O12" si="27">O11+N12</f>
        <v>49.945999999999998</v>
      </c>
      <c r="P12" s="57">
        <f t="shared" ref="P12" si="28">P11+O12</f>
        <v>61.116</v>
      </c>
      <c r="Q12" s="57">
        <f t="shared" ref="Q12" si="29">Q11+P12</f>
        <v>68.260999999999996</v>
      </c>
      <c r="R12" s="57">
        <f t="shared" ref="R12" si="30">R11+Q12</f>
        <v>74.766999999999996</v>
      </c>
      <c r="S12" s="57">
        <f t="shared" ref="S12" si="31">S11+R12</f>
        <v>76.122</v>
      </c>
      <c r="T12" s="57">
        <f t="shared" ref="T12" si="32">T11+S12</f>
        <v>76.122</v>
      </c>
      <c r="U12" s="57">
        <f t="shared" ref="U12" si="33">U11+T12</f>
        <v>76.122</v>
      </c>
      <c r="V12" s="57">
        <f t="shared" ref="V12" si="34">V11+U12</f>
        <v>76.122</v>
      </c>
      <c r="W12" s="57">
        <f t="shared" ref="W12" si="35">W11+V12</f>
        <v>76.122</v>
      </c>
    </row>
    <row r="13" spans="2:23" x14ac:dyDescent="0.25">
      <c r="B13" s="10">
        <f t="shared" si="2"/>
        <v>43840</v>
      </c>
      <c r="C13" s="8">
        <f>SUMIF(Fluxo_Diário!$B$9:$B$1048576,Fluxo_Diário_DB!B13,Fluxo_Diário!$C$9:$C$1048576)</f>
        <v>-2209</v>
      </c>
      <c r="D13" s="8">
        <f t="shared" si="3"/>
        <v>2216</v>
      </c>
      <c r="F13" s="43">
        <f t="shared" si="0"/>
        <v>43840</v>
      </c>
      <c r="G13" s="8">
        <f>SUMIF(Fluxo_Diário!$D$9:$D$1048576,Fluxo_Diário_DB!B13,Fluxo_Diário!$E$9:$E$1048576)</f>
        <v>6300</v>
      </c>
      <c r="H13" s="8">
        <f t="shared" si="4"/>
        <v>4925</v>
      </c>
      <c r="J13" s="72"/>
      <c r="K13" s="45" t="s">
        <v>180</v>
      </c>
      <c r="L13" s="27">
        <f>L11/L9</f>
        <v>1.3243967828418231</v>
      </c>
      <c r="M13" s="27">
        <f t="shared" ref="M13:W13" si="36">M11/M9</f>
        <v>0.96219839142091157</v>
      </c>
      <c r="N13" s="27">
        <f t="shared" si="36"/>
        <v>1.0041108132260947</v>
      </c>
      <c r="O13" s="27">
        <f t="shared" si="36"/>
        <v>1.1727435210008936</v>
      </c>
      <c r="P13" s="27">
        <f t="shared" si="36"/>
        <v>0.99821268990169798</v>
      </c>
      <c r="Q13" s="27">
        <f t="shared" si="36"/>
        <v>0.63851653261840924</v>
      </c>
      <c r="R13" s="27">
        <f t="shared" si="36"/>
        <v>0.58141197497765862</v>
      </c>
      <c r="S13" s="27">
        <f t="shared" si="36"/>
        <v>0.12109025915996426</v>
      </c>
      <c r="T13" s="27">
        <f t="shared" si="36"/>
        <v>0</v>
      </c>
      <c r="U13" s="27">
        <f t="shared" si="36"/>
        <v>0</v>
      </c>
      <c r="V13" s="27">
        <f t="shared" si="36"/>
        <v>0</v>
      </c>
      <c r="W13" s="27">
        <f t="shared" si="36"/>
        <v>0</v>
      </c>
    </row>
    <row r="14" spans="2:23" x14ac:dyDescent="0.25">
      <c r="B14" s="10">
        <f t="shared" si="2"/>
        <v>43841</v>
      </c>
      <c r="C14" s="8">
        <f>SUMIF(Fluxo_Diário!$B$9:$B$1048576,Fluxo_Diário_DB!B14,Fluxo_Diário!$C$9:$C$1048576)</f>
        <v>0</v>
      </c>
      <c r="D14" s="8">
        <f t="shared" si="3"/>
        <v>2216</v>
      </c>
      <c r="F14" s="43">
        <f t="shared" si="0"/>
        <v>43841</v>
      </c>
      <c r="G14" s="8">
        <f>SUMIF(Fluxo_Diário!$D$9:$D$1048576,Fluxo_Diário_DB!B14,Fluxo_Diário!$E$9:$E$1048576)</f>
        <v>-2209</v>
      </c>
      <c r="H14" s="8">
        <f t="shared" si="4"/>
        <v>2716</v>
      </c>
    </row>
    <row r="15" spans="2:23" x14ac:dyDescent="0.25">
      <c r="B15" s="10">
        <f t="shared" si="2"/>
        <v>43842</v>
      </c>
      <c r="C15" s="8">
        <f>SUMIF(Fluxo_Diário!$B$9:$B$1048576,Fluxo_Diário_DB!B15,Fluxo_Diário!$C$9:$C$1048576)</f>
        <v>-2713</v>
      </c>
      <c r="D15" s="8">
        <f t="shared" si="3"/>
        <v>-497</v>
      </c>
      <c r="F15" s="43">
        <f t="shared" si="0"/>
        <v>43842</v>
      </c>
      <c r="G15" s="8">
        <f>SUMIF(Fluxo_Diário!$D$9:$D$1048576,Fluxo_Diário_DB!B15,Fluxo_Diário!$E$9:$E$1048576)</f>
        <v>0</v>
      </c>
      <c r="H15" s="8">
        <f t="shared" si="4"/>
        <v>2716</v>
      </c>
      <c r="J15" s="72" t="s">
        <v>123</v>
      </c>
      <c r="K15" s="73" t="s">
        <v>178</v>
      </c>
      <c r="L15" s="57">
        <f>-Fluxo_Projetado!C57/$K$2</f>
        <v>1.4338500000000001</v>
      </c>
      <c r="M15" s="57">
        <f>-Fluxo_Projetado!D57/$K$2</f>
        <v>6.1152541000000005</v>
      </c>
      <c r="N15" s="57">
        <f>-Fluxo_Projetado!E57/$K$2</f>
        <v>6.1312917999999996</v>
      </c>
      <c r="O15" s="57">
        <f>-Fluxo_Projetado!F57/$K$2</f>
        <v>6.2304043999999994</v>
      </c>
      <c r="P15" s="57">
        <f>-Fluxo_Projetado!G57/$K$2</f>
        <v>6.3490876000000007</v>
      </c>
      <c r="Q15" s="57">
        <f>-Fluxo_Projetado!H57/$K$2</f>
        <v>6.3594708999999998</v>
      </c>
      <c r="R15" s="57">
        <f>-Fluxo_Projetado!I57/$K$2</f>
        <v>6.2761143000000006</v>
      </c>
      <c r="S15" s="57">
        <f>-Fluxo_Projetado!J57/$K$2</f>
        <v>6.5318098999999998</v>
      </c>
      <c r="T15" s="57">
        <f>-Fluxo_Projetado!K57/$K$2</f>
        <v>6.3604531000000009</v>
      </c>
      <c r="U15" s="57">
        <f>-Fluxo_Projetado!L57/$K$2</f>
        <v>6.3591738000000007</v>
      </c>
      <c r="V15" s="57">
        <f>-Fluxo_Projetado!M57/$K$2</f>
        <v>6.1200268000000007</v>
      </c>
      <c r="W15" s="57">
        <f>-Fluxo_Projetado!N57/$K$2</f>
        <v>6.1495798000000006</v>
      </c>
    </row>
    <row r="16" spans="2:23" x14ac:dyDescent="0.25">
      <c r="B16" s="10">
        <f t="shared" si="2"/>
        <v>43843</v>
      </c>
      <c r="C16" s="8">
        <f>SUMIF(Fluxo_Diário!$B$9:$B$1048576,Fluxo_Diário_DB!B16,Fluxo_Diário!$C$9:$C$1048576)</f>
        <v>0</v>
      </c>
      <c r="D16" s="8">
        <f t="shared" si="3"/>
        <v>-497</v>
      </c>
      <c r="F16" s="43">
        <f t="shared" si="0"/>
        <v>43843</v>
      </c>
      <c r="G16" s="8">
        <f>SUMIF(Fluxo_Diário!$D$9:$D$1048576,Fluxo_Diário_DB!B16,Fluxo_Diário!$E$9:$E$1048576)</f>
        <v>0</v>
      </c>
      <c r="H16" s="8">
        <f t="shared" si="4"/>
        <v>2716</v>
      </c>
      <c r="J16" s="72"/>
      <c r="K16" s="73"/>
      <c r="L16" s="57">
        <f>L15</f>
        <v>1.4338500000000001</v>
      </c>
      <c r="M16" s="57">
        <f>M15+L16</f>
        <v>7.549104100000001</v>
      </c>
      <c r="N16" s="57">
        <f t="shared" ref="N16" si="37">N15+M16</f>
        <v>13.680395900000001</v>
      </c>
      <c r="O16" s="57">
        <f t="shared" ref="O16" si="38">O15+N16</f>
        <v>19.910800299999998</v>
      </c>
      <c r="P16" s="57">
        <f t="shared" ref="P16" si="39">P15+O16</f>
        <v>26.259887899999999</v>
      </c>
      <c r="Q16" s="57">
        <f t="shared" ref="Q16" si="40">Q15+P16</f>
        <v>32.619358800000001</v>
      </c>
      <c r="R16" s="57">
        <f t="shared" ref="R16" si="41">R15+Q16</f>
        <v>38.895473100000004</v>
      </c>
      <c r="S16" s="57">
        <f t="shared" ref="S16" si="42">S15+R16</f>
        <v>45.427283000000003</v>
      </c>
      <c r="T16" s="57">
        <f t="shared" ref="T16" si="43">T15+S16</f>
        <v>51.787736100000004</v>
      </c>
      <c r="U16" s="57">
        <f t="shared" ref="U16" si="44">U15+T16</f>
        <v>58.146909900000004</v>
      </c>
      <c r="V16" s="57">
        <f t="shared" ref="V16" si="45">V15+U16</f>
        <v>64.266936700000002</v>
      </c>
      <c r="W16" s="57">
        <f t="shared" ref="W16" si="46">W15+V16</f>
        <v>70.4165165</v>
      </c>
    </row>
    <row r="17" spans="2:23" x14ac:dyDescent="0.25">
      <c r="B17" s="10">
        <f t="shared" si="2"/>
        <v>43844</v>
      </c>
      <c r="C17" s="8">
        <f>SUMIF(Fluxo_Diário!$B$9:$B$1048576,Fluxo_Diário_DB!B17,Fluxo_Diário!$C$9:$C$1048576)</f>
        <v>-2946</v>
      </c>
      <c r="D17" s="8">
        <f t="shared" si="3"/>
        <v>-3443</v>
      </c>
      <c r="F17" s="43">
        <f t="shared" si="0"/>
        <v>43844</v>
      </c>
      <c r="G17" s="8">
        <f>SUMIF(Fluxo_Diário!$D$9:$D$1048576,Fluxo_Diário_DB!B17,Fluxo_Diário!$E$9:$E$1048576)</f>
        <v>0</v>
      </c>
      <c r="H17" s="8">
        <f t="shared" si="4"/>
        <v>2716</v>
      </c>
      <c r="J17" s="72"/>
      <c r="K17" s="73" t="s">
        <v>179</v>
      </c>
      <c r="L17" s="57">
        <f>-Fluxo_Realizado!C57/$K$2</f>
        <v>2.7130000000000001</v>
      </c>
      <c r="M17" s="57">
        <f>-Fluxo_Realizado!D57/$K$2</f>
        <v>7.7309999999999999</v>
      </c>
      <c r="N17" s="57">
        <f>-Fluxo_Realizado!E57/$K$2</f>
        <v>2.302</v>
      </c>
      <c r="O17" s="57">
        <f>-Fluxo_Realizado!F57/$K$2</f>
        <v>5.5629999999999997</v>
      </c>
      <c r="P17" s="57">
        <f>-Fluxo_Realizado!G57/$K$2</f>
        <v>2.8530000000000002</v>
      </c>
      <c r="Q17" s="57">
        <f>-Fluxo_Realizado!H57/$K$2</f>
        <v>2.3959999999999999</v>
      </c>
      <c r="R17" s="57">
        <f>-Fluxo_Realizado!I57/$K$2</f>
        <v>0</v>
      </c>
      <c r="S17" s="57">
        <f>-Fluxo_Realizado!J57/$K$2</f>
        <v>0</v>
      </c>
      <c r="T17" s="57">
        <f>-Fluxo_Realizado!K57/$K$2</f>
        <v>0</v>
      </c>
      <c r="U17" s="57">
        <f>-Fluxo_Realizado!L57/$K$2</f>
        <v>0</v>
      </c>
      <c r="V17" s="57">
        <f>-Fluxo_Realizado!M57/$K$2</f>
        <v>0</v>
      </c>
      <c r="W17" s="57">
        <f>-Fluxo_Realizado!N57/$K$2</f>
        <v>0</v>
      </c>
    </row>
    <row r="18" spans="2:23" x14ac:dyDescent="0.25">
      <c r="B18" s="10">
        <f t="shared" si="2"/>
        <v>43845</v>
      </c>
      <c r="C18" s="8">
        <f>SUMIF(Fluxo_Diário!$B$9:$B$1048576,Fluxo_Diário_DB!B18,Fluxo_Diário!$C$9:$C$1048576)</f>
        <v>0</v>
      </c>
      <c r="D18" s="8">
        <f t="shared" si="3"/>
        <v>-3443</v>
      </c>
      <c r="F18" s="43">
        <f t="shared" si="0"/>
        <v>43845</v>
      </c>
      <c r="G18" s="8">
        <f>SUMIF(Fluxo_Diário!$D$9:$D$1048576,Fluxo_Diário_DB!B18,Fluxo_Diário!$E$9:$E$1048576)</f>
        <v>-5659</v>
      </c>
      <c r="H18" s="8">
        <f t="shared" si="4"/>
        <v>-2943</v>
      </c>
      <c r="J18" s="72"/>
      <c r="K18" s="73"/>
      <c r="L18" s="57">
        <f>L17</f>
        <v>2.7130000000000001</v>
      </c>
      <c r="M18" s="57">
        <f>M17+L18</f>
        <v>10.443999999999999</v>
      </c>
      <c r="N18" s="57">
        <f t="shared" ref="N18" si="47">N17+M18</f>
        <v>12.745999999999999</v>
      </c>
      <c r="O18" s="57">
        <f t="shared" ref="O18" si="48">O17+N18</f>
        <v>18.308999999999997</v>
      </c>
      <c r="P18" s="57">
        <f t="shared" ref="P18" si="49">P17+O18</f>
        <v>21.161999999999999</v>
      </c>
      <c r="Q18" s="57">
        <f t="shared" ref="Q18" si="50">Q17+P18</f>
        <v>23.558</v>
      </c>
      <c r="R18" s="57">
        <f t="shared" ref="R18" si="51">R17+Q18</f>
        <v>23.558</v>
      </c>
      <c r="S18" s="57">
        <f t="shared" ref="S18" si="52">S17+R18</f>
        <v>23.558</v>
      </c>
      <c r="T18" s="57">
        <f t="shared" ref="T18" si="53">T17+S18</f>
        <v>23.558</v>
      </c>
      <c r="U18" s="57">
        <f t="shared" ref="U18" si="54">U17+T18</f>
        <v>23.558</v>
      </c>
      <c r="V18" s="57">
        <f t="shared" ref="V18" si="55">V17+U18</f>
        <v>23.558</v>
      </c>
      <c r="W18" s="57">
        <f t="shared" ref="W18" si="56">W17+V18</f>
        <v>23.558</v>
      </c>
    </row>
    <row r="19" spans="2:23" x14ac:dyDescent="0.25">
      <c r="B19" s="10">
        <f t="shared" si="2"/>
        <v>43846</v>
      </c>
      <c r="C19" s="8">
        <f>SUMIF(Fluxo_Diário!$B$9:$B$1048576,Fluxo_Diário_DB!B19,Fluxo_Diário!$C$9:$C$1048576)</f>
        <v>-3164</v>
      </c>
      <c r="D19" s="8">
        <f t="shared" si="3"/>
        <v>-6607</v>
      </c>
      <c r="F19" s="43">
        <f t="shared" si="0"/>
        <v>43846</v>
      </c>
      <c r="G19" s="8">
        <f>SUMIF(Fluxo_Diário!$D$9:$D$1048576,Fluxo_Diário_DB!B19,Fluxo_Diário!$E$9:$E$1048576)</f>
        <v>0</v>
      </c>
      <c r="H19" s="8">
        <f t="shared" si="4"/>
        <v>-2943</v>
      </c>
      <c r="J19" s="72"/>
      <c r="K19" s="45" t="s">
        <v>180</v>
      </c>
      <c r="L19" s="27">
        <f>L17/L15</f>
        <v>1.8921086585068172</v>
      </c>
      <c r="M19" s="27">
        <f t="shared" ref="M19:W19" si="57">M17/M15</f>
        <v>1.2642156603108281</v>
      </c>
      <c r="N19" s="27">
        <f t="shared" si="57"/>
        <v>0.37545105910633714</v>
      </c>
      <c r="O19" s="27">
        <f t="shared" si="57"/>
        <v>0.89287944134091846</v>
      </c>
      <c r="P19" s="27">
        <f t="shared" si="57"/>
        <v>0.44935590430347816</v>
      </c>
      <c r="Q19" s="27">
        <f t="shared" si="57"/>
        <v>0.37676090317513677</v>
      </c>
      <c r="R19" s="27">
        <f t="shared" si="57"/>
        <v>0</v>
      </c>
      <c r="S19" s="27">
        <f t="shared" si="57"/>
        <v>0</v>
      </c>
      <c r="T19" s="27">
        <f t="shared" si="57"/>
        <v>0</v>
      </c>
      <c r="U19" s="27">
        <f t="shared" si="57"/>
        <v>0</v>
      </c>
      <c r="V19" s="27">
        <f t="shared" si="57"/>
        <v>0</v>
      </c>
      <c r="W19" s="27">
        <f t="shared" si="57"/>
        <v>0</v>
      </c>
    </row>
    <row r="20" spans="2:23" x14ac:dyDescent="0.25">
      <c r="B20" s="10">
        <f t="shared" si="2"/>
        <v>43847</v>
      </c>
      <c r="C20" s="8">
        <f>SUMIF(Fluxo_Diário!$B$9:$B$1048576,Fluxo_Diário_DB!B20,Fluxo_Diário!$C$9:$C$1048576)</f>
        <v>0</v>
      </c>
      <c r="D20" s="8">
        <f t="shared" si="3"/>
        <v>-6607</v>
      </c>
      <c r="F20" s="43">
        <f t="shared" si="0"/>
        <v>43847</v>
      </c>
      <c r="G20" s="8">
        <f>SUMIF(Fluxo_Diário!$D$9:$D$1048576,Fluxo_Diário_DB!B20,Fluxo_Diário!$E$9:$E$1048576)</f>
        <v>0</v>
      </c>
      <c r="H20" s="8">
        <f t="shared" si="4"/>
        <v>-2943</v>
      </c>
    </row>
    <row r="21" spans="2:23" ht="15" customHeight="1" x14ac:dyDescent="0.25">
      <c r="B21" s="10">
        <f t="shared" si="2"/>
        <v>43848</v>
      </c>
      <c r="C21" s="8">
        <f>SUMIF(Fluxo_Diário!$B$9:$B$1048576,Fluxo_Diário_DB!B21,Fluxo_Diário!$C$9:$C$1048576)</f>
        <v>-2037</v>
      </c>
      <c r="D21" s="8">
        <f t="shared" si="3"/>
        <v>-8644</v>
      </c>
      <c r="F21" s="43">
        <f t="shared" si="0"/>
        <v>43848</v>
      </c>
      <c r="G21" s="8">
        <f>SUMIF(Fluxo_Diário!$D$9:$D$1048576,Fluxo_Diário_DB!B21,Fluxo_Diário!$E$9:$E$1048576)</f>
        <v>0</v>
      </c>
      <c r="H21" s="8">
        <f t="shared" si="4"/>
        <v>-2943</v>
      </c>
      <c r="J21" s="67" t="s">
        <v>143</v>
      </c>
      <c r="K21" s="73" t="s">
        <v>178</v>
      </c>
      <c r="L21" s="47">
        <f>Fluxo_Projetado!C70</f>
        <v>0.87728352269080168</v>
      </c>
      <c r="M21" s="47">
        <f>Fluxo_Projetado!D70</f>
        <v>0.78535059934361784</v>
      </c>
      <c r="N21" s="47">
        <f>Fluxo_Projetado!E70</f>
        <v>0.78706910808393893</v>
      </c>
      <c r="O21" s="47">
        <f>Fluxo_Projetado!F70</f>
        <v>0.79144740832482552</v>
      </c>
      <c r="P21" s="47">
        <f>Fluxo_Projetado!G70</f>
        <v>0.78600083926690534</v>
      </c>
      <c r="Q21" s="47">
        <f>Fluxo_Projetado!H70</f>
        <v>0.78681134418920395</v>
      </c>
      <c r="R21" s="47">
        <f>Fluxo_Projetado!I70</f>
        <v>0.7884123019351359</v>
      </c>
      <c r="S21" s="47">
        <f>Fluxo_Projetado!J70</f>
        <v>0.78369878881704769</v>
      </c>
      <c r="T21" s="47">
        <f>Fluxo_Projetado!K70</f>
        <v>0.78874892140093333</v>
      </c>
      <c r="U21" s="47">
        <f>Fluxo_Projetado!L70</f>
        <v>0.78569518931032745</v>
      </c>
      <c r="V21" s="47">
        <f>Fluxo_Projetado!M70</f>
        <v>0.78831859986510555</v>
      </c>
      <c r="W21" s="47">
        <f>Fluxo_Projetado!N70</f>
        <v>0.78578304086946682</v>
      </c>
    </row>
    <row r="22" spans="2:23" x14ac:dyDescent="0.25">
      <c r="B22" s="10">
        <f t="shared" si="2"/>
        <v>43849</v>
      </c>
      <c r="C22" s="8">
        <f>SUMIF(Fluxo_Diário!$B$9:$B$1048576,Fluxo_Diário_DB!B22,Fluxo_Diário!$C$9:$C$1048576)</f>
        <v>0</v>
      </c>
      <c r="D22" s="8">
        <f t="shared" si="3"/>
        <v>-8644</v>
      </c>
      <c r="F22" s="43">
        <f t="shared" si="0"/>
        <v>43849</v>
      </c>
      <c r="G22" s="8">
        <f>SUMIF(Fluxo_Diário!$D$9:$D$1048576,Fluxo_Diário_DB!B22,Fluxo_Diário!$E$9:$E$1048576)</f>
        <v>-5201</v>
      </c>
      <c r="H22" s="8">
        <f t="shared" si="4"/>
        <v>-8144</v>
      </c>
      <c r="J22" s="68"/>
      <c r="K22" s="7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10">
        <f t="shared" si="2"/>
        <v>43850</v>
      </c>
      <c r="C23" s="8">
        <f>SUMIF(Fluxo_Diário!$B$9:$B$1048576,Fluxo_Diário_DB!B23,Fluxo_Diário!$C$9:$C$1048576)</f>
        <v>14762</v>
      </c>
      <c r="D23" s="8">
        <f t="shared" si="3"/>
        <v>6118</v>
      </c>
      <c r="F23" s="43">
        <f t="shared" si="0"/>
        <v>43850</v>
      </c>
      <c r="G23" s="8">
        <f>SUMIF(Fluxo_Diário!$D$9:$D$1048576,Fluxo_Diário_DB!B23,Fluxo_Diário!$E$9:$E$1048576)</f>
        <v>0</v>
      </c>
      <c r="H23" s="8">
        <f t="shared" si="4"/>
        <v>-8144</v>
      </c>
      <c r="J23" s="68"/>
      <c r="K23" s="73" t="s">
        <v>179</v>
      </c>
      <c r="L23" s="47">
        <f>IFERROR(Fluxo_Realizado!C70,"")</f>
        <v>0.95183311140701288</v>
      </c>
      <c r="M23" s="47">
        <f>IFERROR(Fluxo_Realizado!D70,"")</f>
        <v>0.61129267434260148</v>
      </c>
      <c r="N23" s="47">
        <f>IFERROR(Fluxo_Realizado!E70,"")</f>
        <v>0.96342955184520307</v>
      </c>
      <c r="O23" s="47">
        <f>IFERROR(Fluxo_Realizado!F70,"")</f>
        <v>0.82527168792009542</v>
      </c>
      <c r="P23" s="47">
        <f>IFERROR(Fluxo_Realizado!G70,"")</f>
        <v>0.94673860284508826</v>
      </c>
      <c r="Q23" s="47">
        <f>IFERROR(Fluxo_Realizado!H70,"")</f>
        <v>0.97377752484349689</v>
      </c>
      <c r="R23" s="47">
        <f>IFERROR(Fluxo_Realizado!I70,"")</f>
        <v>1</v>
      </c>
      <c r="S23" s="47" t="str">
        <f>IFERROR(Fluxo_Realizado!J70,"")</f>
        <v/>
      </c>
      <c r="T23" s="47" t="str">
        <f>IFERROR(Fluxo_Realizado!K70,"")</f>
        <v/>
      </c>
      <c r="U23" s="47" t="str">
        <f>IFERROR(Fluxo_Realizado!L70,"")</f>
        <v/>
      </c>
      <c r="V23" s="47" t="str">
        <f>IFERROR(Fluxo_Realizado!M70,"")</f>
        <v/>
      </c>
      <c r="W23" s="47" t="str">
        <f>IFERROR(Fluxo_Realizado!N70,"")</f>
        <v/>
      </c>
    </row>
    <row r="24" spans="2:23" x14ac:dyDescent="0.25">
      <c r="B24" s="10">
        <f t="shared" si="2"/>
        <v>43851</v>
      </c>
      <c r="C24" s="8">
        <f>SUMIF(Fluxo_Diário!$B$9:$B$1048576,Fluxo_Diário_DB!B24,Fluxo_Diário!$C$9:$C$1048576)</f>
        <v>0</v>
      </c>
      <c r="D24" s="8">
        <f t="shared" si="3"/>
        <v>6118</v>
      </c>
      <c r="F24" s="43">
        <f t="shared" si="0"/>
        <v>43851</v>
      </c>
      <c r="G24" s="8">
        <f>SUMIF(Fluxo_Diário!$D$9:$D$1048576,Fluxo_Diário_DB!B24,Fluxo_Diário!$E$9:$E$1048576)</f>
        <v>0</v>
      </c>
      <c r="H24" s="8">
        <f t="shared" si="4"/>
        <v>-8144</v>
      </c>
      <c r="J24" s="69"/>
      <c r="K24" s="7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10">
        <f t="shared" si="2"/>
        <v>43852</v>
      </c>
      <c r="C25" s="8">
        <f>SUMIF(Fluxo_Diário!$B$9:$B$1048576,Fluxo_Diário_DB!B25,Fluxo_Diário!$C$9:$C$1048576)</f>
        <v>11949</v>
      </c>
      <c r="D25" s="8">
        <f t="shared" si="3"/>
        <v>18067</v>
      </c>
      <c r="F25" s="43">
        <f t="shared" si="0"/>
        <v>43852</v>
      </c>
      <c r="G25" s="8">
        <f>SUMIF(Fluxo_Diário!$D$9:$D$1048576,Fluxo_Diário_DB!B25,Fluxo_Diário!$E$9:$E$1048576)</f>
        <v>0</v>
      </c>
      <c r="H25" s="8">
        <f t="shared" si="4"/>
        <v>-8144</v>
      </c>
      <c r="K25"/>
    </row>
    <row r="26" spans="2:23" ht="15" customHeight="1" x14ac:dyDescent="0.25">
      <c r="B26" s="10">
        <f t="shared" si="2"/>
        <v>43853</v>
      </c>
      <c r="C26" s="8">
        <f>SUMIF(Fluxo_Diário!$B$9:$B$1048576,Fluxo_Diário_DB!B26,Fluxo_Diário!$C$9:$C$1048576)</f>
        <v>0</v>
      </c>
      <c r="D26" s="8">
        <f t="shared" si="3"/>
        <v>18067</v>
      </c>
      <c r="F26" s="43">
        <f t="shared" si="0"/>
        <v>43853</v>
      </c>
      <c r="G26" s="8">
        <f>SUMIF(Fluxo_Diário!$D$9:$D$1048576,Fluxo_Diário_DB!B26,Fluxo_Diário!$E$9:$E$1048576)</f>
        <v>26711</v>
      </c>
      <c r="H26" s="8">
        <f t="shared" si="4"/>
        <v>18567</v>
      </c>
      <c r="J26" s="67" t="s">
        <v>144</v>
      </c>
      <c r="K26" s="70" t="s">
        <v>178</v>
      </c>
      <c r="L26" s="47">
        <f>Fluxo_Projetado!C71</f>
        <v>0.12271647730919832</v>
      </c>
      <c r="M26" s="47">
        <f>Fluxo_Projetado!D71</f>
        <v>0.21464940065638216</v>
      </c>
      <c r="N26" s="47">
        <f>Fluxo_Projetado!E71</f>
        <v>0.21293089191606107</v>
      </c>
      <c r="O26" s="47">
        <f>Fluxo_Projetado!F71</f>
        <v>0.20855259167517448</v>
      </c>
      <c r="P26" s="47">
        <f>Fluxo_Projetado!G71</f>
        <v>0.21399916073309466</v>
      </c>
      <c r="Q26" s="47">
        <f>Fluxo_Projetado!H71</f>
        <v>0.21318865581079605</v>
      </c>
      <c r="R26" s="47">
        <f>Fluxo_Projetado!I71</f>
        <v>0.2115876980648641</v>
      </c>
      <c r="S26" s="47">
        <f>Fluxo_Projetado!J71</f>
        <v>0.21630121118295231</v>
      </c>
      <c r="T26" s="47">
        <f>Fluxo_Projetado!K71</f>
        <v>0.21125107859906667</v>
      </c>
      <c r="U26" s="47">
        <f>Fluxo_Projetado!L71</f>
        <v>0.21430481068967255</v>
      </c>
      <c r="V26" s="47">
        <f>Fluxo_Projetado!M71</f>
        <v>0.21168140013489445</v>
      </c>
      <c r="W26" s="47">
        <f>Fluxo_Projetado!N71</f>
        <v>0.21421695913053318</v>
      </c>
    </row>
    <row r="27" spans="2:23" x14ac:dyDescent="0.25">
      <c r="B27" s="10">
        <f t="shared" si="2"/>
        <v>43854</v>
      </c>
      <c r="C27" s="8">
        <f>SUMIF(Fluxo_Diário!$B$9:$B$1048576,Fluxo_Diário_DB!B27,Fluxo_Diário!$C$9:$C$1048576)</f>
        <v>14655</v>
      </c>
      <c r="D27" s="8">
        <f t="shared" si="3"/>
        <v>32722</v>
      </c>
      <c r="F27" s="43">
        <f t="shared" si="0"/>
        <v>43854</v>
      </c>
      <c r="G27" s="8">
        <f>SUMIF(Fluxo_Diário!$D$9:$D$1048576,Fluxo_Diário_DB!B27,Fluxo_Diário!$E$9:$E$1048576)</f>
        <v>0</v>
      </c>
      <c r="H27" s="8">
        <f t="shared" si="4"/>
        <v>18567</v>
      </c>
      <c r="J27" s="68"/>
      <c r="K27" s="71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10">
        <f t="shared" si="2"/>
        <v>43855</v>
      </c>
      <c r="C28" s="8">
        <f>SUMIF(Fluxo_Diário!$B$9:$B$1048576,Fluxo_Diário_DB!B28,Fluxo_Diário!$C$9:$C$1048576)</f>
        <v>0</v>
      </c>
      <c r="D28" s="8">
        <f t="shared" si="3"/>
        <v>32722</v>
      </c>
      <c r="F28" s="43">
        <f t="shared" si="0"/>
        <v>43855</v>
      </c>
      <c r="G28" s="8">
        <f>SUMIF(Fluxo_Diário!$D$9:$D$1048576,Fluxo_Diário_DB!B28,Fluxo_Diário!$E$9:$E$1048576)</f>
        <v>0</v>
      </c>
      <c r="H28" s="8">
        <f t="shared" si="4"/>
        <v>18567</v>
      </c>
      <c r="J28" s="68"/>
      <c r="K28" s="70" t="s">
        <v>179</v>
      </c>
      <c r="L28" s="47">
        <f>IFERROR(Fluxo_Realizado!C71,"")</f>
        <v>4.8166888592987123E-2</v>
      </c>
      <c r="M28" s="47">
        <f>IFERROR(Fluxo_Realizado!D71,"")</f>
        <v>0.38870732565739852</v>
      </c>
      <c r="N28" s="47">
        <f>IFERROR(Fluxo_Realizado!E71,"")</f>
        <v>3.6570448154796931E-2</v>
      </c>
      <c r="O28" s="47">
        <f>IFERROR(Fluxo_Realizado!F71,"")</f>
        <v>0.17472831207990458</v>
      </c>
      <c r="P28" s="47">
        <f>IFERROR(Fluxo_Realizado!G71,"")</f>
        <v>5.3261397154911738E-2</v>
      </c>
      <c r="Q28" s="47">
        <f>IFERROR(Fluxo_Realizado!H71,"")</f>
        <v>2.6222475156503111E-2</v>
      </c>
      <c r="R28" s="47">
        <f>IFERROR(Fluxo_Realizado!I71,"")</f>
        <v>0</v>
      </c>
      <c r="S28" s="47" t="str">
        <f>IFERROR(Fluxo_Realizado!J71,"")</f>
        <v/>
      </c>
      <c r="T28" s="47" t="str">
        <f>IFERROR(Fluxo_Realizado!K71,"")</f>
        <v/>
      </c>
      <c r="U28" s="47" t="str">
        <f>IFERROR(Fluxo_Realizado!L71,"")</f>
        <v/>
      </c>
      <c r="V28" s="47" t="str">
        <f>IFERROR(Fluxo_Realizado!M71,"")</f>
        <v/>
      </c>
      <c r="W28" s="47" t="str">
        <f>IFERROR(Fluxo_Realizado!N71,"")</f>
        <v/>
      </c>
    </row>
    <row r="29" spans="2:23" x14ac:dyDescent="0.25">
      <c r="B29" s="10">
        <f t="shared" si="2"/>
        <v>43856</v>
      </c>
      <c r="C29" s="8">
        <f>SUMIF(Fluxo_Diário!$B$9:$B$1048576,Fluxo_Diário_DB!B29,Fluxo_Diário!$C$9:$C$1048576)</f>
        <v>7459</v>
      </c>
      <c r="D29" s="8">
        <f t="shared" si="3"/>
        <v>40181</v>
      </c>
      <c r="F29" s="43">
        <f t="shared" si="0"/>
        <v>43856</v>
      </c>
      <c r="G29" s="8">
        <f>SUMIF(Fluxo_Diário!$D$9:$D$1048576,Fluxo_Diário_DB!B29,Fluxo_Diário!$E$9:$E$1048576)</f>
        <v>0</v>
      </c>
      <c r="H29" s="8">
        <f t="shared" si="4"/>
        <v>18567</v>
      </c>
      <c r="J29" s="69"/>
      <c r="K29" s="71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10">
        <f t="shared" si="2"/>
        <v>43857</v>
      </c>
      <c r="C30" s="8">
        <f>SUMIF(Fluxo_Diário!$B$9:$B$1048576,Fluxo_Diário_DB!B30,Fluxo_Diário!$C$9:$C$1048576)</f>
        <v>0</v>
      </c>
      <c r="D30" s="8">
        <f t="shared" si="3"/>
        <v>40181</v>
      </c>
      <c r="F30" s="43">
        <f t="shared" si="0"/>
        <v>43857</v>
      </c>
      <c r="G30" s="8">
        <f>SUMIF(Fluxo_Diário!$D$9:$D$1048576,Fluxo_Diário_DB!B30,Fluxo_Diário!$E$9:$E$1048576)</f>
        <v>14655</v>
      </c>
      <c r="H30" s="8">
        <f t="shared" si="4"/>
        <v>33222</v>
      </c>
    </row>
    <row r="31" spans="2:23" x14ac:dyDescent="0.25">
      <c r="B31" s="10">
        <f t="shared" si="2"/>
        <v>43858</v>
      </c>
      <c r="C31" s="8">
        <f>SUMIF(Fluxo_Diário!$B$9:$B$1048576,Fluxo_Diário_DB!B31,Fluxo_Diário!$C$9:$C$1048576)</f>
        <v>-1889</v>
      </c>
      <c r="D31" s="8">
        <f t="shared" si="3"/>
        <v>38292</v>
      </c>
      <c r="F31" s="43">
        <f t="shared" si="0"/>
        <v>43858</v>
      </c>
      <c r="G31" s="8">
        <f>SUMIF(Fluxo_Diário!$D$9:$D$1048576,Fluxo_Diário_DB!B31,Fluxo_Diário!$E$9:$E$1048576)</f>
        <v>7459</v>
      </c>
      <c r="H31" s="8">
        <f t="shared" si="4"/>
        <v>40681</v>
      </c>
      <c r="J31" s="67" t="s">
        <v>145</v>
      </c>
      <c r="K31" s="70" t="s">
        <v>178</v>
      </c>
      <c r="L31" s="14">
        <f>Fluxo_Projetado!C72/$K$2</f>
        <v>12.75528345235308</v>
      </c>
      <c r="M31" s="14">
        <f>Fluxo_Projetado!D72/$K$2</f>
        <v>14.248413395689015</v>
      </c>
      <c r="N31" s="14">
        <f>Fluxo_Projetado!E72/$K$2</f>
        <v>14.217303010711754</v>
      </c>
      <c r="O31" s="14">
        <f>Fluxo_Projetado!F72/$K$2</f>
        <v>14.138652653730601</v>
      </c>
      <c r="P31" s="14">
        <f>Fluxo_Projetado!G72/$K$2</f>
        <v>14.23662601993758</v>
      </c>
      <c r="Q31" s="14">
        <f>Fluxo_Projetado!H72/$K$2</f>
        <v>14.221960680461603</v>
      </c>
      <c r="R31" s="14">
        <f>Fluxo_Projetado!I72/$K$2</f>
        <v>14.193081427743403</v>
      </c>
      <c r="S31" s="14">
        <f>Fluxo_Projetado!J72/$K$2</f>
        <v>14.278444932766478</v>
      </c>
      <c r="T31" s="14">
        <f>Fluxo_Projetado!K72/$K$2</f>
        <v>14.187024154815862</v>
      </c>
      <c r="U31" s="14">
        <f>Fluxo_Projetado!L72/$K$2</f>
        <v>14.24216433070238</v>
      </c>
      <c r="V31" s="14">
        <f>Fluxo_Projetado!M72/$K$2</f>
        <v>14.194768462795112</v>
      </c>
      <c r="W31" s="14">
        <f>Fluxo_Projetado!N72/$K$2</f>
        <v>14.240572038330447</v>
      </c>
    </row>
    <row r="32" spans="2:23" x14ac:dyDescent="0.25">
      <c r="B32" s="10">
        <f t="shared" si="2"/>
        <v>43859</v>
      </c>
      <c r="C32" s="8">
        <f>SUMIF(Fluxo_Diário!$B$9:$B$1048576,Fluxo_Diário_DB!B32,Fluxo_Diário!$C$9:$C$1048576)</f>
        <v>0</v>
      </c>
      <c r="D32" s="8">
        <f t="shared" si="3"/>
        <v>38292</v>
      </c>
      <c r="F32" s="43">
        <f t="shared" si="0"/>
        <v>43859</v>
      </c>
      <c r="G32" s="8">
        <f>SUMIF(Fluxo_Diário!$D$9:$D$1048576,Fluxo_Diário_DB!B32,Fluxo_Diário!$E$9:$E$1048576)</f>
        <v>0</v>
      </c>
      <c r="H32" s="8">
        <f t="shared" si="4"/>
        <v>40681</v>
      </c>
      <c r="J32" s="68"/>
      <c r="K32" s="71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10">
        <f t="shared" si="2"/>
        <v>43860</v>
      </c>
      <c r="C33" s="8">
        <f>SUMIF(Fluxo_Diário!$B$9:$B$1048576,Fluxo_Diário_DB!B33,Fluxo_Diário!$C$9:$C$1048576)</f>
        <v>-3004</v>
      </c>
      <c r="D33" s="8">
        <f t="shared" si="3"/>
        <v>35288</v>
      </c>
      <c r="F33" s="43">
        <f t="shared" si="0"/>
        <v>43860</v>
      </c>
      <c r="G33" s="8">
        <f>SUMIF(Fluxo_Diário!$D$9:$D$1048576,Fluxo_Diário_DB!B33,Fluxo_Diário!$E$9:$E$1048576)</f>
        <v>0</v>
      </c>
      <c r="H33" s="8">
        <f t="shared" si="4"/>
        <v>40681</v>
      </c>
      <c r="J33" s="68"/>
      <c r="K33" s="70" t="s">
        <v>179</v>
      </c>
      <c r="L33" s="14">
        <f>IFERROR(Fluxo_Realizado!C72/$K$2,"")</f>
        <v>15.569956353055286</v>
      </c>
      <c r="M33" s="14">
        <f>IFERROR(Fluxo_Realizado!D72/$K$2,"")</f>
        <v>17.61349424247409</v>
      </c>
      <c r="N33" s="14">
        <f>IFERROR(Fluxo_Realizado!E72/$K$2,"")</f>
        <v>11.662502959848299</v>
      </c>
      <c r="O33" s="14">
        <f>IFERROR(Fluxo_Realizado!F72/$K$2,"")</f>
        <v>15.901430028544244</v>
      </c>
      <c r="P33" s="14">
        <f>IFERROR(Fluxo_Realizado!G72/$K$2,"")</f>
        <v>11.798399227022657</v>
      </c>
      <c r="Q33" s="14">
        <f>IFERROR(Fluxo_Realizado!H72/$K$2,"")</f>
        <v>7.3374049181801837</v>
      </c>
      <c r="R33" s="14">
        <f>IFERROR(Fluxo_Realizado!I72/$K$2,"")</f>
        <v>6.5060000000000002</v>
      </c>
      <c r="S33" s="14" t="str">
        <f>IFERROR(Fluxo_Realizado!J72/$K$2,"")</f>
        <v/>
      </c>
      <c r="T33" s="14" t="str">
        <f>IFERROR(Fluxo_Realizado!K72/$K$2,"")</f>
        <v/>
      </c>
      <c r="U33" s="14" t="str">
        <f>IFERROR(Fluxo_Realizado!L72/$K$2,"")</f>
        <v/>
      </c>
      <c r="V33" s="14" t="str">
        <f>IFERROR(Fluxo_Realizado!M72/$K$2,"")</f>
        <v/>
      </c>
      <c r="W33" s="14" t="str">
        <f>IFERROR(Fluxo_Realizado!N72/$K$2,"")</f>
        <v/>
      </c>
    </row>
    <row r="34" spans="2:23" x14ac:dyDescent="0.25">
      <c r="B34" s="10">
        <f t="shared" si="2"/>
        <v>43861</v>
      </c>
      <c r="C34" s="8">
        <f>SUMIF(Fluxo_Diário!$B$9:$B$1048576,Fluxo_Diário_DB!B34,Fluxo_Diário!$C$9:$C$1048576)</f>
        <v>0</v>
      </c>
      <c r="D34" s="8">
        <f t="shared" si="3"/>
        <v>35288</v>
      </c>
      <c r="F34" s="43">
        <f t="shared" si="0"/>
        <v>43861</v>
      </c>
      <c r="G34" s="8">
        <f>SUMIF(Fluxo_Diário!$D$9:$D$1048576,Fluxo_Diário_DB!B34,Fluxo_Diário!$E$9:$E$1048576)</f>
        <v>-1889</v>
      </c>
      <c r="H34" s="8">
        <f t="shared" si="4"/>
        <v>38792</v>
      </c>
      <c r="J34" s="69"/>
      <c r="K34" s="71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10">
        <f t="shared" si="2"/>
        <v>43862</v>
      </c>
      <c r="C35" s="8">
        <f>SUMIF(Fluxo_Diário!$B$9:$B$1048576,Fluxo_Diário_DB!B35,Fluxo_Diário!$C$9:$C$1048576)</f>
        <v>-1619</v>
      </c>
      <c r="D35" s="8">
        <f t="shared" si="3"/>
        <v>33669</v>
      </c>
      <c r="F35" s="43">
        <f t="shared" si="0"/>
        <v>43862</v>
      </c>
      <c r="G35" s="8">
        <f>SUMIF(Fluxo_Diário!$D$9:$D$1048576,Fluxo_Diário_DB!B35,Fluxo_Diário!$E$9:$E$1048576)</f>
        <v>-3004</v>
      </c>
      <c r="H35" s="8">
        <f t="shared" si="4"/>
        <v>35788</v>
      </c>
    </row>
    <row r="36" spans="2:23" x14ac:dyDescent="0.25">
      <c r="B36" s="10">
        <f t="shared" si="2"/>
        <v>43863</v>
      </c>
      <c r="C36" s="8">
        <f>SUMIF(Fluxo_Diário!$B$9:$B$1048576,Fluxo_Diário_DB!B36,Fluxo_Diário!$C$9:$C$1048576)</f>
        <v>0</v>
      </c>
      <c r="D36" s="8">
        <f t="shared" si="3"/>
        <v>33669</v>
      </c>
      <c r="F36" s="43">
        <f t="shared" si="0"/>
        <v>43863</v>
      </c>
      <c r="G36" s="8">
        <f>SUMIF(Fluxo_Diário!$D$9:$D$1048576,Fluxo_Diário_DB!B36,Fluxo_Diário!$E$9:$E$1048576)</f>
        <v>-1619</v>
      </c>
      <c r="H36" s="8">
        <f t="shared" si="4"/>
        <v>34169</v>
      </c>
    </row>
    <row r="37" spans="2:23" x14ac:dyDescent="0.25">
      <c r="B37" s="10">
        <f t="shared" si="2"/>
        <v>43864</v>
      </c>
      <c r="C37" s="8">
        <f>SUMIF(Fluxo_Diário!$B$9:$B$1048576,Fluxo_Diário_DB!B37,Fluxo_Diário!$C$9:$C$1048576)</f>
        <v>-2306</v>
      </c>
      <c r="D37" s="8">
        <f t="shared" si="3"/>
        <v>31363</v>
      </c>
      <c r="F37" s="43">
        <f t="shared" si="0"/>
        <v>43864</v>
      </c>
      <c r="G37" s="8">
        <f>SUMIF(Fluxo_Diário!$D$9:$D$1048576,Fluxo_Diário_DB!B37,Fluxo_Diário!$E$9:$E$1048576)</f>
        <v>0</v>
      </c>
      <c r="H37" s="8">
        <f t="shared" si="4"/>
        <v>34169</v>
      </c>
    </row>
    <row r="38" spans="2:23" x14ac:dyDescent="0.25">
      <c r="B38" s="10">
        <f t="shared" si="2"/>
        <v>43865</v>
      </c>
      <c r="C38" s="8">
        <f>SUMIF(Fluxo_Diário!$B$9:$B$1048576,Fluxo_Diário_DB!B38,Fluxo_Diário!$C$9:$C$1048576)</f>
        <v>0</v>
      </c>
      <c r="D38" s="8">
        <f t="shared" si="3"/>
        <v>31363</v>
      </c>
      <c r="F38" s="43">
        <f t="shared" si="0"/>
        <v>43865</v>
      </c>
      <c r="G38" s="8">
        <f>SUMIF(Fluxo_Diário!$D$9:$D$1048576,Fluxo_Diário_DB!B38,Fluxo_Diário!$E$9:$E$1048576)</f>
        <v>0</v>
      </c>
      <c r="H38" s="8">
        <f t="shared" si="4"/>
        <v>34169</v>
      </c>
    </row>
    <row r="39" spans="2:23" x14ac:dyDescent="0.25">
      <c r="B39" s="10">
        <f t="shared" si="2"/>
        <v>43866</v>
      </c>
      <c r="C39" s="8">
        <f>SUMIF(Fluxo_Diário!$B$9:$B$1048576,Fluxo_Diário_DB!B39,Fluxo_Diário!$C$9:$C$1048576)</f>
        <v>-474</v>
      </c>
      <c r="D39" s="8">
        <f t="shared" si="3"/>
        <v>30889</v>
      </c>
      <c r="F39" s="43">
        <f t="shared" si="0"/>
        <v>43866</v>
      </c>
      <c r="G39" s="8">
        <f>SUMIF(Fluxo_Diário!$D$9:$D$1048576,Fluxo_Diário_DB!B39,Fluxo_Diário!$E$9:$E$1048576)</f>
        <v>-2306</v>
      </c>
      <c r="H39" s="8">
        <f t="shared" si="4"/>
        <v>31863</v>
      </c>
    </row>
    <row r="40" spans="2:23" x14ac:dyDescent="0.25">
      <c r="B40" s="10">
        <f t="shared" si="2"/>
        <v>43867</v>
      </c>
      <c r="C40" s="8">
        <f>SUMIF(Fluxo_Diário!$B$9:$B$1048576,Fluxo_Diário_DB!B40,Fluxo_Diário!$C$9:$C$1048576)</f>
        <v>0</v>
      </c>
      <c r="D40" s="8">
        <f t="shared" si="3"/>
        <v>30889</v>
      </c>
      <c r="F40" s="43">
        <f t="shared" si="0"/>
        <v>43867</v>
      </c>
      <c r="G40" s="8">
        <f>SUMIF(Fluxo_Diário!$D$9:$D$1048576,Fluxo_Diário_DB!B40,Fluxo_Diário!$E$9:$E$1048576)</f>
        <v>0</v>
      </c>
      <c r="H40" s="8">
        <f t="shared" si="4"/>
        <v>31863</v>
      </c>
    </row>
    <row r="41" spans="2:23" x14ac:dyDescent="0.25">
      <c r="B41" s="10">
        <f t="shared" si="2"/>
        <v>43868</v>
      </c>
      <c r="C41" s="8">
        <f>SUMIF(Fluxo_Diário!$B$9:$B$1048576,Fluxo_Diário_DB!B41,Fluxo_Diário!$C$9:$C$1048576)</f>
        <v>-50</v>
      </c>
      <c r="D41" s="8">
        <f t="shared" si="3"/>
        <v>30839</v>
      </c>
      <c r="F41" s="43">
        <f t="shared" si="0"/>
        <v>43868</v>
      </c>
      <c r="G41" s="8">
        <f>SUMIF(Fluxo_Diário!$D$9:$D$1048576,Fluxo_Diário_DB!B41,Fluxo_Diário!$E$9:$E$1048576)</f>
        <v>-474</v>
      </c>
      <c r="H41" s="8">
        <f t="shared" si="4"/>
        <v>31389</v>
      </c>
    </row>
    <row r="42" spans="2:23" x14ac:dyDescent="0.25">
      <c r="B42" s="10">
        <f t="shared" si="2"/>
        <v>43869</v>
      </c>
      <c r="C42" s="8">
        <f>SUMIF(Fluxo_Diário!$B$9:$B$1048576,Fluxo_Diário_DB!B42,Fluxo_Diário!$C$9:$C$1048576)</f>
        <v>0</v>
      </c>
      <c r="D42" s="8">
        <f t="shared" si="3"/>
        <v>30839</v>
      </c>
      <c r="F42" s="43">
        <f t="shared" si="0"/>
        <v>43869</v>
      </c>
      <c r="G42" s="8">
        <f>SUMIF(Fluxo_Diário!$D$9:$D$1048576,Fluxo_Diário_DB!B42,Fluxo_Diário!$E$9:$E$1048576)</f>
        <v>0</v>
      </c>
      <c r="H42" s="8">
        <f t="shared" si="4"/>
        <v>31389</v>
      </c>
    </row>
    <row r="43" spans="2:23" x14ac:dyDescent="0.25">
      <c r="B43" s="10">
        <f t="shared" si="2"/>
        <v>43870</v>
      </c>
      <c r="C43" s="8">
        <f>SUMIF(Fluxo_Diário!$B$9:$B$1048576,Fluxo_Diário_DB!B43,Fluxo_Diário!$C$9:$C$1048576)</f>
        <v>-1106</v>
      </c>
      <c r="D43" s="8">
        <f t="shared" si="3"/>
        <v>29733</v>
      </c>
      <c r="F43" s="43">
        <f t="shared" si="0"/>
        <v>43870</v>
      </c>
      <c r="G43" s="8">
        <f>SUMIF(Fluxo_Diário!$D$9:$D$1048576,Fluxo_Diário_DB!B43,Fluxo_Diário!$E$9:$E$1048576)</f>
        <v>-50</v>
      </c>
      <c r="H43" s="8">
        <f t="shared" si="4"/>
        <v>31339</v>
      </c>
    </row>
    <row r="44" spans="2:23" x14ac:dyDescent="0.25">
      <c r="B44" s="10">
        <f t="shared" si="2"/>
        <v>43871</v>
      </c>
      <c r="C44" s="8">
        <f>SUMIF(Fluxo_Diário!$B$9:$B$1048576,Fluxo_Diário_DB!B44,Fluxo_Diário!$C$9:$C$1048576)</f>
        <v>0</v>
      </c>
      <c r="D44" s="8">
        <f t="shared" si="3"/>
        <v>29733</v>
      </c>
      <c r="F44" s="43">
        <f t="shared" si="0"/>
        <v>43871</v>
      </c>
      <c r="G44" s="8">
        <f>SUMIF(Fluxo_Diário!$D$9:$D$1048576,Fluxo_Diário_DB!B44,Fluxo_Diário!$E$9:$E$1048576)</f>
        <v>-4000</v>
      </c>
      <c r="H44" s="8">
        <f t="shared" si="4"/>
        <v>27339</v>
      </c>
    </row>
    <row r="45" spans="2:23" x14ac:dyDescent="0.25">
      <c r="B45" s="10">
        <f t="shared" si="2"/>
        <v>43872</v>
      </c>
      <c r="C45" s="8">
        <f>SUMIF(Fluxo_Diário!$B$9:$B$1048576,Fluxo_Diário_DB!B45,Fluxo_Diário!$C$9:$C$1048576)</f>
        <v>7846</v>
      </c>
      <c r="D45" s="8">
        <f t="shared" si="3"/>
        <v>37579</v>
      </c>
      <c r="F45" s="43">
        <f t="shared" si="0"/>
        <v>43872</v>
      </c>
      <c r="G45" s="8">
        <f>SUMIF(Fluxo_Diário!$D$9:$D$1048576,Fluxo_Diário_DB!B45,Fluxo_Diário!$E$9:$E$1048576)</f>
        <v>-1106</v>
      </c>
      <c r="H45" s="8">
        <f t="shared" si="4"/>
        <v>26233</v>
      </c>
    </row>
    <row r="46" spans="2:23" x14ac:dyDescent="0.25">
      <c r="B46" s="10">
        <f t="shared" si="2"/>
        <v>43873</v>
      </c>
      <c r="C46" s="8">
        <f>SUMIF(Fluxo_Diário!$B$9:$B$1048576,Fluxo_Diário_DB!B46,Fluxo_Diário!$C$9:$C$1048576)</f>
        <v>0</v>
      </c>
      <c r="D46" s="8">
        <f t="shared" si="3"/>
        <v>37579</v>
      </c>
      <c r="F46" s="43">
        <f t="shared" si="0"/>
        <v>43873</v>
      </c>
      <c r="G46" s="8">
        <f>SUMIF(Fluxo_Diário!$D$9:$D$1048576,Fluxo_Diário_DB!B46,Fluxo_Diário!$E$9:$E$1048576)</f>
        <v>0</v>
      </c>
      <c r="H46" s="8">
        <f t="shared" si="4"/>
        <v>26233</v>
      </c>
    </row>
    <row r="47" spans="2:23" x14ac:dyDescent="0.25">
      <c r="B47" s="10">
        <f t="shared" si="2"/>
        <v>43874</v>
      </c>
      <c r="C47" s="8">
        <f>SUMIF(Fluxo_Diário!$B$9:$B$1048576,Fluxo_Diário_DB!B47,Fluxo_Diário!$C$9:$C$1048576)</f>
        <v>4731</v>
      </c>
      <c r="D47" s="8">
        <f t="shared" si="3"/>
        <v>42310</v>
      </c>
      <c r="F47" s="43">
        <f t="shared" si="0"/>
        <v>43874</v>
      </c>
      <c r="G47" s="8">
        <f>SUMIF(Fluxo_Diário!$D$9:$D$1048576,Fluxo_Diário_DB!B47,Fluxo_Diário!$E$9:$E$1048576)</f>
        <v>0</v>
      </c>
      <c r="H47" s="8">
        <f t="shared" si="4"/>
        <v>26233</v>
      </c>
    </row>
    <row r="48" spans="2:23" x14ac:dyDescent="0.25">
      <c r="B48" s="10">
        <f t="shared" si="2"/>
        <v>43875</v>
      </c>
      <c r="C48" s="8">
        <f>SUMIF(Fluxo_Diário!$B$9:$B$1048576,Fluxo_Diário_DB!B48,Fluxo_Diário!$C$9:$C$1048576)</f>
        <v>0</v>
      </c>
      <c r="D48" s="8">
        <f t="shared" si="3"/>
        <v>42310</v>
      </c>
      <c r="F48" s="43">
        <f t="shared" si="0"/>
        <v>43875</v>
      </c>
      <c r="G48" s="8">
        <f>SUMIF(Fluxo_Diário!$D$9:$D$1048576,Fluxo_Diário_DB!B48,Fluxo_Diário!$E$9:$E$1048576)</f>
        <v>7846</v>
      </c>
      <c r="H48" s="8">
        <f t="shared" si="4"/>
        <v>34079</v>
      </c>
    </row>
    <row r="49" spans="2:8" x14ac:dyDescent="0.25">
      <c r="B49" s="10">
        <f t="shared" si="2"/>
        <v>43876</v>
      </c>
      <c r="C49" s="8">
        <f>SUMIF(Fluxo_Diário!$B$9:$B$1048576,Fluxo_Diário_DB!B49,Fluxo_Diário!$C$9:$C$1048576)</f>
        <v>3812</v>
      </c>
      <c r="D49" s="8">
        <f t="shared" si="3"/>
        <v>46122</v>
      </c>
      <c r="F49" s="43">
        <f t="shared" si="0"/>
        <v>43876</v>
      </c>
      <c r="G49" s="8">
        <f>SUMIF(Fluxo_Diário!$D$9:$D$1048576,Fluxo_Diário_DB!B49,Fluxo_Diário!$E$9:$E$1048576)</f>
        <v>8231</v>
      </c>
      <c r="H49" s="8">
        <f t="shared" si="4"/>
        <v>42310</v>
      </c>
    </row>
    <row r="50" spans="2:8" x14ac:dyDescent="0.25">
      <c r="B50" s="10">
        <f t="shared" si="2"/>
        <v>43877</v>
      </c>
      <c r="C50" s="8">
        <f>SUMIF(Fluxo_Diário!$B$9:$B$1048576,Fluxo_Diário_DB!B50,Fluxo_Diário!$C$9:$C$1048576)</f>
        <v>0</v>
      </c>
      <c r="D50" s="8">
        <f t="shared" si="3"/>
        <v>46122</v>
      </c>
      <c r="F50" s="43">
        <f t="shared" si="0"/>
        <v>43877</v>
      </c>
      <c r="G50" s="8">
        <f>SUMIF(Fluxo_Diário!$D$9:$D$1048576,Fluxo_Diário_DB!B50,Fluxo_Diário!$E$9:$E$1048576)</f>
        <v>0</v>
      </c>
      <c r="H50" s="8">
        <f t="shared" si="4"/>
        <v>42310</v>
      </c>
    </row>
    <row r="51" spans="2:8" x14ac:dyDescent="0.25">
      <c r="B51" s="10">
        <f t="shared" si="2"/>
        <v>43878</v>
      </c>
      <c r="C51" s="8">
        <f>SUMIF(Fluxo_Diário!$B$9:$B$1048576,Fluxo_Diário_DB!B51,Fluxo_Diário!$C$9:$C$1048576)</f>
        <v>-30</v>
      </c>
      <c r="D51" s="8">
        <f t="shared" si="3"/>
        <v>46092</v>
      </c>
      <c r="F51" s="43">
        <f t="shared" si="0"/>
        <v>43878</v>
      </c>
      <c r="G51" s="8">
        <f>SUMIF(Fluxo_Diário!$D$9:$D$1048576,Fluxo_Diário_DB!B51,Fluxo_Diário!$E$9:$E$1048576)</f>
        <v>3812</v>
      </c>
      <c r="H51" s="8">
        <f t="shared" si="4"/>
        <v>46122</v>
      </c>
    </row>
    <row r="52" spans="2:8" x14ac:dyDescent="0.25">
      <c r="B52" s="10">
        <f t="shared" si="2"/>
        <v>43879</v>
      </c>
      <c r="C52" s="8">
        <f>SUMIF(Fluxo_Diário!$B$9:$B$1048576,Fluxo_Diário_DB!B52,Fluxo_Diário!$C$9:$C$1048576)</f>
        <v>0</v>
      </c>
      <c r="D52" s="8">
        <f t="shared" si="3"/>
        <v>46092</v>
      </c>
      <c r="F52" s="43">
        <f t="shared" si="0"/>
        <v>43879</v>
      </c>
      <c r="G52" s="8">
        <f>SUMIF(Fluxo_Diário!$D$9:$D$1048576,Fluxo_Diário_DB!B52,Fluxo_Diário!$E$9:$E$1048576)</f>
        <v>0</v>
      </c>
      <c r="H52" s="8">
        <f t="shared" si="4"/>
        <v>46122</v>
      </c>
    </row>
    <row r="53" spans="2:8" x14ac:dyDescent="0.25">
      <c r="B53" s="10">
        <f t="shared" si="2"/>
        <v>43880</v>
      </c>
      <c r="C53" s="8">
        <f>SUMIF(Fluxo_Diário!$B$9:$B$1048576,Fluxo_Diário_DB!B53,Fluxo_Diário!$C$9:$C$1048576)</f>
        <v>-230</v>
      </c>
      <c r="D53" s="8">
        <f t="shared" si="3"/>
        <v>45862</v>
      </c>
      <c r="F53" s="43">
        <f t="shared" si="0"/>
        <v>43880</v>
      </c>
      <c r="G53" s="8">
        <f>SUMIF(Fluxo_Diário!$D$9:$D$1048576,Fluxo_Diário_DB!B53,Fluxo_Diário!$E$9:$E$1048576)</f>
        <v>0</v>
      </c>
      <c r="H53" s="8">
        <f t="shared" si="4"/>
        <v>46122</v>
      </c>
    </row>
    <row r="54" spans="2:8" x14ac:dyDescent="0.25">
      <c r="B54" s="10">
        <f t="shared" si="2"/>
        <v>43881</v>
      </c>
      <c r="C54" s="8">
        <f>SUMIF(Fluxo_Diário!$B$9:$B$1048576,Fluxo_Diário_DB!B54,Fluxo_Diário!$C$9:$C$1048576)</f>
        <v>0</v>
      </c>
      <c r="D54" s="8">
        <f t="shared" si="3"/>
        <v>45862</v>
      </c>
      <c r="F54" s="43">
        <f t="shared" si="0"/>
        <v>43881</v>
      </c>
      <c r="G54" s="8">
        <f>SUMIF(Fluxo_Diário!$D$9:$D$1048576,Fluxo_Diário_DB!B54,Fluxo_Diário!$E$9:$E$1048576)</f>
        <v>-260</v>
      </c>
      <c r="H54" s="8">
        <f t="shared" si="4"/>
        <v>45862</v>
      </c>
    </row>
    <row r="55" spans="2:8" x14ac:dyDescent="0.25">
      <c r="B55" s="10">
        <f t="shared" si="2"/>
        <v>43882</v>
      </c>
      <c r="C55" s="8">
        <f>SUMIF(Fluxo_Diário!$B$9:$B$1048576,Fluxo_Diário_DB!B55,Fluxo_Diário!$C$9:$C$1048576)</f>
        <v>-606</v>
      </c>
      <c r="D55" s="8">
        <f t="shared" si="3"/>
        <v>45256</v>
      </c>
      <c r="F55" s="43">
        <f t="shared" si="0"/>
        <v>43882</v>
      </c>
      <c r="G55" s="8">
        <f>SUMIF(Fluxo_Diário!$D$9:$D$1048576,Fluxo_Diário_DB!B55,Fluxo_Diário!$E$9:$E$1048576)</f>
        <v>0</v>
      </c>
      <c r="H55" s="8">
        <f t="shared" si="4"/>
        <v>45862</v>
      </c>
    </row>
    <row r="56" spans="2:8" x14ac:dyDescent="0.25">
      <c r="B56" s="10">
        <f t="shared" si="2"/>
        <v>43883</v>
      </c>
      <c r="C56" s="8">
        <f>SUMIF(Fluxo_Diário!$B$9:$B$1048576,Fluxo_Diário_DB!B56,Fluxo_Diário!$C$9:$C$1048576)</f>
        <v>0</v>
      </c>
      <c r="D56" s="8">
        <f t="shared" si="3"/>
        <v>45256</v>
      </c>
      <c r="F56" s="43">
        <f t="shared" si="0"/>
        <v>43883</v>
      </c>
      <c r="G56" s="8">
        <f>SUMIF(Fluxo_Diário!$D$9:$D$1048576,Fluxo_Diário_DB!B56,Fluxo_Diário!$E$9:$E$1048576)</f>
        <v>0</v>
      </c>
      <c r="H56" s="8">
        <f t="shared" si="4"/>
        <v>45862</v>
      </c>
    </row>
    <row r="57" spans="2:8" x14ac:dyDescent="0.25">
      <c r="B57" s="10">
        <f t="shared" si="2"/>
        <v>43884</v>
      </c>
      <c r="C57" s="8">
        <f>SUMIF(Fluxo_Diário!$B$9:$B$1048576,Fluxo_Diário_DB!B57,Fluxo_Diário!$C$9:$C$1048576)</f>
        <v>-846</v>
      </c>
      <c r="D57" s="8">
        <f t="shared" si="3"/>
        <v>44410</v>
      </c>
      <c r="F57" s="43">
        <f t="shared" si="0"/>
        <v>43884</v>
      </c>
      <c r="G57" s="8">
        <f>SUMIF(Fluxo_Diário!$D$9:$D$1048576,Fluxo_Diário_DB!B57,Fluxo_Diário!$E$9:$E$1048576)</f>
        <v>0</v>
      </c>
      <c r="H57" s="8">
        <f t="shared" si="4"/>
        <v>45862</v>
      </c>
    </row>
    <row r="58" spans="2:8" x14ac:dyDescent="0.25">
      <c r="B58" s="10">
        <f t="shared" si="2"/>
        <v>43885</v>
      </c>
      <c r="C58" s="8">
        <f>SUMIF(Fluxo_Diário!$B$9:$B$1048576,Fluxo_Diário_DB!B58,Fluxo_Diário!$C$9:$C$1048576)</f>
        <v>0</v>
      </c>
      <c r="D58" s="8">
        <f t="shared" si="3"/>
        <v>44410</v>
      </c>
      <c r="F58" s="43">
        <f t="shared" si="0"/>
        <v>43885</v>
      </c>
      <c r="G58" s="8">
        <f>SUMIF(Fluxo_Diário!$D$9:$D$1048576,Fluxo_Diário_DB!B58,Fluxo_Diário!$E$9:$E$1048576)</f>
        <v>-606</v>
      </c>
      <c r="H58" s="8">
        <f t="shared" si="4"/>
        <v>45256</v>
      </c>
    </row>
    <row r="59" spans="2:8" x14ac:dyDescent="0.25">
      <c r="B59" s="10">
        <f t="shared" si="2"/>
        <v>43886</v>
      </c>
      <c r="C59" s="8">
        <f>SUMIF(Fluxo_Diário!$B$9:$B$1048576,Fluxo_Diário_DB!B59,Fluxo_Diário!$C$9:$C$1048576)</f>
        <v>-2421</v>
      </c>
      <c r="D59" s="8">
        <f t="shared" si="3"/>
        <v>41989</v>
      </c>
      <c r="F59" s="43">
        <f t="shared" si="0"/>
        <v>43886</v>
      </c>
      <c r="G59" s="8">
        <f>SUMIF(Fluxo_Diário!$D$9:$D$1048576,Fluxo_Diário_DB!B59,Fluxo_Diário!$E$9:$E$1048576)</f>
        <v>-846</v>
      </c>
      <c r="H59" s="8">
        <f t="shared" si="4"/>
        <v>44410</v>
      </c>
    </row>
    <row r="60" spans="2:8" x14ac:dyDescent="0.25">
      <c r="B60" s="10">
        <f t="shared" si="2"/>
        <v>43887</v>
      </c>
      <c r="C60" s="8">
        <f>SUMIF(Fluxo_Diário!$B$9:$B$1048576,Fluxo_Diário_DB!B60,Fluxo_Diário!$C$9:$C$1048576)</f>
        <v>0</v>
      </c>
      <c r="D60" s="8">
        <f t="shared" si="3"/>
        <v>41989</v>
      </c>
      <c r="F60" s="43">
        <f t="shared" si="0"/>
        <v>43887</v>
      </c>
      <c r="G60" s="8">
        <f>SUMIF(Fluxo_Diário!$D$9:$D$1048576,Fluxo_Diário_DB!B60,Fluxo_Diário!$E$9:$E$1048576)</f>
        <v>0</v>
      </c>
      <c r="H60" s="8">
        <f t="shared" si="4"/>
        <v>44410</v>
      </c>
    </row>
    <row r="61" spans="2:8" x14ac:dyDescent="0.25">
      <c r="B61" s="10">
        <f t="shared" si="2"/>
        <v>43888</v>
      </c>
      <c r="C61" s="8">
        <f>SUMIF(Fluxo_Diário!$B$9:$B$1048576,Fluxo_Diário_DB!B61,Fluxo_Diário!$C$9:$C$1048576)</f>
        <v>-1806</v>
      </c>
      <c r="D61" s="8">
        <f t="shared" si="3"/>
        <v>40183</v>
      </c>
      <c r="F61" s="43">
        <f t="shared" si="0"/>
        <v>43888</v>
      </c>
      <c r="G61" s="8">
        <f>SUMIF(Fluxo_Diário!$D$9:$D$1048576,Fluxo_Diário_DB!B61,Fluxo_Diário!$E$9:$E$1048576)</f>
        <v>0</v>
      </c>
      <c r="H61" s="8">
        <f t="shared" si="4"/>
        <v>44410</v>
      </c>
    </row>
    <row r="62" spans="2:8" x14ac:dyDescent="0.25">
      <c r="B62" s="10">
        <f t="shared" si="2"/>
        <v>43889</v>
      </c>
      <c r="C62" s="8">
        <f>SUMIF(Fluxo_Diário!$B$9:$B$1048576,Fluxo_Diário_DB!B62,Fluxo_Diário!$C$9:$C$1048576)</f>
        <v>0</v>
      </c>
      <c r="D62" s="8">
        <f t="shared" si="3"/>
        <v>40183</v>
      </c>
      <c r="F62" s="43">
        <f t="shared" si="0"/>
        <v>43889</v>
      </c>
      <c r="G62" s="8">
        <f>SUMIF(Fluxo_Diário!$D$9:$D$1048576,Fluxo_Diário_DB!B62,Fluxo_Diário!$E$9:$E$1048576)</f>
        <v>-2421</v>
      </c>
      <c r="H62" s="8">
        <f t="shared" si="4"/>
        <v>41989</v>
      </c>
    </row>
    <row r="63" spans="2:8" x14ac:dyDescent="0.25">
      <c r="B63" s="10">
        <f t="shared" si="2"/>
        <v>43890</v>
      </c>
      <c r="C63" s="8">
        <f>SUMIF(Fluxo_Diário!$B$9:$B$1048576,Fluxo_Diário_DB!B63,Fluxo_Diário!$C$9:$C$1048576)</f>
        <v>8451</v>
      </c>
      <c r="D63" s="8">
        <f t="shared" si="3"/>
        <v>48634</v>
      </c>
      <c r="F63" s="43">
        <f t="shared" si="0"/>
        <v>43890</v>
      </c>
      <c r="G63" s="8">
        <f>SUMIF(Fluxo_Diário!$D$9:$D$1048576,Fluxo_Diário_DB!B63,Fluxo_Diário!$E$9:$E$1048576)</f>
        <v>-1806</v>
      </c>
      <c r="H63" s="8">
        <f t="shared" si="4"/>
        <v>40183</v>
      </c>
    </row>
    <row r="64" spans="2:8" x14ac:dyDescent="0.25">
      <c r="B64" s="10">
        <f t="shared" si="2"/>
        <v>43891</v>
      </c>
      <c r="C64" s="8">
        <f>SUMIF(Fluxo_Diário!$B$9:$B$1048576,Fluxo_Diário_DB!B64,Fluxo_Diário!$C$9:$C$1048576)</f>
        <v>0</v>
      </c>
      <c r="D64" s="8">
        <f t="shared" si="3"/>
        <v>48634</v>
      </c>
      <c r="F64" s="43">
        <f t="shared" si="0"/>
        <v>43891</v>
      </c>
      <c r="G64" s="8">
        <f>SUMIF(Fluxo_Diário!$D$9:$D$1048576,Fluxo_Diário_DB!B64,Fluxo_Diário!$E$9:$E$1048576)</f>
        <v>0</v>
      </c>
      <c r="H64" s="8">
        <f t="shared" si="4"/>
        <v>40183</v>
      </c>
    </row>
    <row r="65" spans="2:8" x14ac:dyDescent="0.25">
      <c r="B65" s="10">
        <f t="shared" si="2"/>
        <v>43892</v>
      </c>
      <c r="C65" s="8">
        <f>SUMIF(Fluxo_Diário!$B$9:$B$1048576,Fluxo_Diário_DB!B65,Fluxo_Diário!$C$9:$C$1048576)</f>
        <v>13338</v>
      </c>
      <c r="D65" s="8">
        <f t="shared" si="3"/>
        <v>61972</v>
      </c>
      <c r="F65" s="43">
        <f t="shared" si="0"/>
        <v>43892</v>
      </c>
      <c r="G65" s="8">
        <f>SUMIF(Fluxo_Diário!$D$9:$D$1048576,Fluxo_Diário_DB!B65,Fluxo_Diário!$E$9:$E$1048576)</f>
        <v>8451</v>
      </c>
      <c r="H65" s="8">
        <f t="shared" si="4"/>
        <v>48634</v>
      </c>
    </row>
    <row r="66" spans="2:8" x14ac:dyDescent="0.25">
      <c r="B66" s="10">
        <f t="shared" si="2"/>
        <v>43893</v>
      </c>
      <c r="C66" s="8">
        <f>SUMIF(Fluxo_Diário!$B$9:$B$1048576,Fluxo_Diário_DB!B66,Fluxo_Diário!$C$9:$C$1048576)</f>
        <v>0</v>
      </c>
      <c r="D66" s="8">
        <f t="shared" si="3"/>
        <v>61972</v>
      </c>
      <c r="F66" s="43">
        <f t="shared" si="0"/>
        <v>43893</v>
      </c>
      <c r="G66" s="8">
        <f>SUMIF(Fluxo_Diário!$D$9:$D$1048576,Fluxo_Diário_DB!B66,Fluxo_Diário!$E$9:$E$1048576)</f>
        <v>0</v>
      </c>
      <c r="H66" s="8">
        <f t="shared" si="4"/>
        <v>48634</v>
      </c>
    </row>
    <row r="67" spans="2:8" x14ac:dyDescent="0.25">
      <c r="B67" s="10">
        <f t="shared" si="2"/>
        <v>43894</v>
      </c>
      <c r="C67" s="8">
        <f>SUMIF(Fluxo_Diário!$B$9:$B$1048576,Fluxo_Diário_DB!B67,Fluxo_Diário!$C$9:$C$1048576)</f>
        <v>6415</v>
      </c>
      <c r="D67" s="8">
        <f t="shared" si="3"/>
        <v>68387</v>
      </c>
      <c r="F67" s="43">
        <f t="shared" si="0"/>
        <v>43894</v>
      </c>
      <c r="G67" s="8">
        <f>SUMIF(Fluxo_Diário!$D$9:$D$1048576,Fluxo_Diário_DB!B67,Fluxo_Diário!$E$9:$E$1048576)</f>
        <v>0</v>
      </c>
      <c r="H67" s="8">
        <f t="shared" si="4"/>
        <v>48634</v>
      </c>
    </row>
    <row r="68" spans="2:8" x14ac:dyDescent="0.25">
      <c r="B68" s="10">
        <f t="shared" si="2"/>
        <v>43895</v>
      </c>
      <c r="C68" s="8">
        <f>SUMIF(Fluxo_Diário!$B$9:$B$1048576,Fluxo_Diário_DB!B68,Fluxo_Diário!$C$9:$C$1048576)</f>
        <v>0</v>
      </c>
      <c r="D68" s="8">
        <f t="shared" si="3"/>
        <v>68387</v>
      </c>
      <c r="F68" s="43">
        <f t="shared" ref="F68:F131" si="58">B68</f>
        <v>43895</v>
      </c>
      <c r="G68" s="8">
        <f>SUMIF(Fluxo_Diário!$D$9:$D$1048576,Fluxo_Diário_DB!B68,Fluxo_Diário!$E$9:$E$1048576)</f>
        <v>13338</v>
      </c>
      <c r="H68" s="8">
        <f t="shared" si="4"/>
        <v>61972</v>
      </c>
    </row>
    <row r="69" spans="2:8" x14ac:dyDescent="0.25">
      <c r="B69" s="10">
        <f t="shared" ref="B69:B132" si="59">B68+1</f>
        <v>43896</v>
      </c>
      <c r="C69" s="8">
        <f>SUMIF(Fluxo_Diário!$B$9:$B$1048576,Fluxo_Diário_DB!B69,Fluxo_Diário!$C$9:$C$1048576)</f>
        <v>-2634</v>
      </c>
      <c r="D69" s="8">
        <f t="shared" ref="D69:D132" si="60">C69+D68</f>
        <v>65753</v>
      </c>
      <c r="F69" s="43">
        <f t="shared" si="58"/>
        <v>43896</v>
      </c>
      <c r="G69" s="8">
        <f>SUMIF(Fluxo_Diário!$D$9:$D$1048576,Fluxo_Diário_DB!B69,Fluxo_Diário!$E$9:$E$1048576)</f>
        <v>6415</v>
      </c>
      <c r="H69" s="8">
        <f t="shared" ref="H69:H132" si="61">G69+H68</f>
        <v>68387</v>
      </c>
    </row>
    <row r="70" spans="2:8" x14ac:dyDescent="0.25">
      <c r="B70" s="10">
        <f t="shared" si="59"/>
        <v>43897</v>
      </c>
      <c r="C70" s="8">
        <f>SUMIF(Fluxo_Diário!$B$9:$B$1048576,Fluxo_Diário_DB!B70,Fluxo_Diário!$C$9:$C$1048576)</f>
        <v>0</v>
      </c>
      <c r="D70" s="8">
        <f t="shared" si="60"/>
        <v>65753</v>
      </c>
      <c r="F70" s="43">
        <f t="shared" si="58"/>
        <v>43897</v>
      </c>
      <c r="G70" s="8">
        <f>SUMIF(Fluxo_Diário!$D$9:$D$1048576,Fluxo_Diário_DB!B70,Fluxo_Diário!$E$9:$E$1048576)</f>
        <v>0</v>
      </c>
      <c r="H70" s="8">
        <f t="shared" si="61"/>
        <v>68387</v>
      </c>
    </row>
    <row r="71" spans="2:8" x14ac:dyDescent="0.25">
      <c r="B71" s="10">
        <f t="shared" si="59"/>
        <v>43898</v>
      </c>
      <c r="C71" s="8">
        <f>SUMIF(Fluxo_Diário!$B$9:$B$1048576,Fluxo_Diário_DB!B71,Fluxo_Diário!$C$9:$C$1048576)</f>
        <v>-1358</v>
      </c>
      <c r="D71" s="8">
        <f t="shared" si="60"/>
        <v>64395</v>
      </c>
      <c r="F71" s="43">
        <f t="shared" si="58"/>
        <v>43898</v>
      </c>
      <c r="G71" s="8">
        <f>SUMIF(Fluxo_Diário!$D$9:$D$1048576,Fluxo_Diário_DB!B71,Fluxo_Diário!$E$9:$E$1048576)</f>
        <v>-2634</v>
      </c>
      <c r="H71" s="8">
        <f t="shared" si="61"/>
        <v>65753</v>
      </c>
    </row>
    <row r="72" spans="2:8" x14ac:dyDescent="0.25">
      <c r="B72" s="10">
        <f t="shared" si="59"/>
        <v>43899</v>
      </c>
      <c r="C72" s="8">
        <f>SUMIF(Fluxo_Diário!$B$9:$B$1048576,Fluxo_Diário_DB!B72,Fluxo_Diário!$C$9:$C$1048576)</f>
        <v>0</v>
      </c>
      <c r="D72" s="8">
        <f t="shared" si="60"/>
        <v>64395</v>
      </c>
      <c r="F72" s="43">
        <f t="shared" si="58"/>
        <v>43899</v>
      </c>
      <c r="G72" s="8">
        <f>SUMIF(Fluxo_Diário!$D$9:$D$1048576,Fluxo_Diário_DB!B72,Fluxo_Diário!$E$9:$E$1048576)</f>
        <v>0</v>
      </c>
      <c r="H72" s="8">
        <f t="shared" si="61"/>
        <v>65753</v>
      </c>
    </row>
    <row r="73" spans="2:8" x14ac:dyDescent="0.25">
      <c r="B73" s="10">
        <f t="shared" si="59"/>
        <v>43900</v>
      </c>
      <c r="C73" s="8">
        <f>SUMIF(Fluxo_Diário!$B$9:$B$1048576,Fluxo_Diário_DB!B73,Fluxo_Diário!$C$9:$C$1048576)</f>
        <v>10267</v>
      </c>
      <c r="D73" s="8">
        <f t="shared" si="60"/>
        <v>74662</v>
      </c>
      <c r="F73" s="43">
        <f t="shared" si="58"/>
        <v>43900</v>
      </c>
      <c r="G73" s="8">
        <f>SUMIF(Fluxo_Diário!$D$9:$D$1048576,Fluxo_Diário_DB!B73,Fluxo_Diário!$E$9:$E$1048576)</f>
        <v>-1358</v>
      </c>
      <c r="H73" s="8">
        <f t="shared" si="61"/>
        <v>64395</v>
      </c>
    </row>
    <row r="74" spans="2:8" x14ac:dyDescent="0.25">
      <c r="B74" s="10">
        <f t="shared" si="59"/>
        <v>43901</v>
      </c>
      <c r="C74" s="8">
        <f>SUMIF(Fluxo_Diário!$B$9:$B$1048576,Fluxo_Diário_DB!B74,Fluxo_Diário!$C$9:$C$1048576)</f>
        <v>0</v>
      </c>
      <c r="D74" s="8">
        <f t="shared" si="60"/>
        <v>74662</v>
      </c>
      <c r="F74" s="43">
        <f t="shared" si="58"/>
        <v>43901</v>
      </c>
      <c r="G74" s="8">
        <f>SUMIF(Fluxo_Diário!$D$9:$D$1048576,Fluxo_Diário_DB!B74,Fluxo_Diário!$E$9:$E$1048576)</f>
        <v>10267</v>
      </c>
      <c r="H74" s="8">
        <f t="shared" si="61"/>
        <v>74662</v>
      </c>
    </row>
    <row r="75" spans="2:8" x14ac:dyDescent="0.25">
      <c r="B75" s="10">
        <f t="shared" si="59"/>
        <v>43902</v>
      </c>
      <c r="C75" s="8">
        <f>SUMIF(Fluxo_Diário!$B$9:$B$1048576,Fluxo_Diário_DB!B75,Fluxo_Diário!$C$9:$C$1048576)</f>
        <v>-1980</v>
      </c>
      <c r="D75" s="8">
        <f t="shared" si="60"/>
        <v>72682</v>
      </c>
      <c r="F75" s="43">
        <f t="shared" si="58"/>
        <v>43902</v>
      </c>
      <c r="G75" s="8">
        <f>SUMIF(Fluxo_Diário!$D$9:$D$1048576,Fluxo_Diário_DB!B75,Fluxo_Diário!$E$9:$E$1048576)</f>
        <v>0</v>
      </c>
      <c r="H75" s="8">
        <f t="shared" si="61"/>
        <v>74662</v>
      </c>
    </row>
    <row r="76" spans="2:8" x14ac:dyDescent="0.25">
      <c r="B76" s="10">
        <f t="shared" si="59"/>
        <v>43903</v>
      </c>
      <c r="C76" s="8">
        <f>SUMIF(Fluxo_Diário!$B$9:$B$1048576,Fluxo_Diário_DB!B76,Fluxo_Diário!$C$9:$C$1048576)</f>
        <v>0</v>
      </c>
      <c r="D76" s="8">
        <f t="shared" si="60"/>
        <v>72682</v>
      </c>
      <c r="F76" s="43">
        <f t="shared" si="58"/>
        <v>43903</v>
      </c>
      <c r="G76" s="8">
        <f>SUMIF(Fluxo_Diário!$D$9:$D$1048576,Fluxo_Diário_DB!B76,Fluxo_Diário!$E$9:$E$1048576)</f>
        <v>0</v>
      </c>
      <c r="H76" s="8">
        <f t="shared" si="61"/>
        <v>74662</v>
      </c>
    </row>
    <row r="77" spans="2:8" x14ac:dyDescent="0.25">
      <c r="B77" s="10">
        <f t="shared" si="59"/>
        <v>43904</v>
      </c>
      <c r="C77" s="8">
        <f>SUMIF(Fluxo_Diário!$B$9:$B$1048576,Fluxo_Diário_DB!B77,Fluxo_Diário!$C$9:$C$1048576)</f>
        <v>-2302</v>
      </c>
      <c r="D77" s="8">
        <f t="shared" si="60"/>
        <v>70380</v>
      </c>
      <c r="F77" s="43">
        <f t="shared" si="58"/>
        <v>43904</v>
      </c>
      <c r="G77" s="8">
        <f>SUMIF(Fluxo_Diário!$D$9:$D$1048576,Fluxo_Diário_DB!B77,Fluxo_Diário!$E$9:$E$1048576)</f>
        <v>-1980</v>
      </c>
      <c r="H77" s="8">
        <f t="shared" si="61"/>
        <v>72682</v>
      </c>
    </row>
    <row r="78" spans="2:8" x14ac:dyDescent="0.25">
      <c r="B78" s="10">
        <f t="shared" si="59"/>
        <v>43905</v>
      </c>
      <c r="C78" s="8">
        <f>SUMIF(Fluxo_Diário!$B$9:$B$1048576,Fluxo_Diário_DB!B78,Fluxo_Diário!$C$9:$C$1048576)</f>
        <v>0</v>
      </c>
      <c r="D78" s="8">
        <f t="shared" si="60"/>
        <v>70380</v>
      </c>
      <c r="F78" s="43">
        <f t="shared" si="58"/>
        <v>43905</v>
      </c>
      <c r="G78" s="8">
        <f>SUMIF(Fluxo_Diário!$D$9:$D$1048576,Fluxo_Diário_DB!B78,Fluxo_Diário!$E$9:$E$1048576)</f>
        <v>-2302</v>
      </c>
      <c r="H78" s="8">
        <f t="shared" si="61"/>
        <v>70380</v>
      </c>
    </row>
    <row r="79" spans="2:8" x14ac:dyDescent="0.25">
      <c r="B79" s="10">
        <f t="shared" si="59"/>
        <v>43906</v>
      </c>
      <c r="C79" s="8">
        <f>SUMIF(Fluxo_Diário!$B$9:$B$1048576,Fluxo_Diário_DB!B79,Fluxo_Diário!$C$9:$C$1048576)</f>
        <v>-1735</v>
      </c>
      <c r="D79" s="8">
        <f t="shared" si="60"/>
        <v>68645</v>
      </c>
      <c r="F79" s="43">
        <f t="shared" si="58"/>
        <v>43906</v>
      </c>
      <c r="G79" s="8">
        <f>SUMIF(Fluxo_Diário!$D$9:$D$1048576,Fluxo_Diário_DB!B79,Fluxo_Diário!$E$9:$E$1048576)</f>
        <v>0</v>
      </c>
      <c r="H79" s="8">
        <f t="shared" si="61"/>
        <v>70380</v>
      </c>
    </row>
    <row r="80" spans="2:8" x14ac:dyDescent="0.25">
      <c r="B80" s="10">
        <f t="shared" si="59"/>
        <v>43907</v>
      </c>
      <c r="C80" s="8">
        <f>SUMIF(Fluxo_Diário!$B$9:$B$1048576,Fluxo_Diário_DB!B80,Fluxo_Diário!$C$9:$C$1048576)</f>
        <v>0</v>
      </c>
      <c r="D80" s="8">
        <f t="shared" si="60"/>
        <v>68645</v>
      </c>
      <c r="F80" s="43">
        <f t="shared" si="58"/>
        <v>43907</v>
      </c>
      <c r="G80" s="8">
        <f>SUMIF(Fluxo_Diário!$D$9:$D$1048576,Fluxo_Diário_DB!B80,Fluxo_Diário!$E$9:$E$1048576)</f>
        <v>0</v>
      </c>
      <c r="H80" s="8">
        <f t="shared" si="61"/>
        <v>70380</v>
      </c>
    </row>
    <row r="81" spans="2:8" x14ac:dyDescent="0.25">
      <c r="B81" s="10">
        <f t="shared" si="59"/>
        <v>43908</v>
      </c>
      <c r="C81" s="8">
        <f>SUMIF(Fluxo_Diário!$B$9:$B$1048576,Fluxo_Diário_DB!B81,Fluxo_Diário!$C$9:$C$1048576)</f>
        <v>-1380</v>
      </c>
      <c r="D81" s="8">
        <f t="shared" si="60"/>
        <v>67265</v>
      </c>
      <c r="F81" s="43">
        <f t="shared" si="58"/>
        <v>43908</v>
      </c>
      <c r="G81" s="8">
        <f>SUMIF(Fluxo_Diário!$D$9:$D$1048576,Fluxo_Diário_DB!B81,Fluxo_Diário!$E$9:$E$1048576)</f>
        <v>-1735</v>
      </c>
      <c r="H81" s="8">
        <f t="shared" si="61"/>
        <v>68645</v>
      </c>
    </row>
    <row r="82" spans="2:8" x14ac:dyDescent="0.25">
      <c r="B82" s="10">
        <f t="shared" si="59"/>
        <v>43909</v>
      </c>
      <c r="C82" s="8">
        <f>SUMIF(Fluxo_Diário!$B$9:$B$1048576,Fluxo_Diário_DB!B82,Fluxo_Diário!$C$9:$C$1048576)</f>
        <v>0</v>
      </c>
      <c r="D82" s="8">
        <f t="shared" si="60"/>
        <v>67265</v>
      </c>
      <c r="F82" s="43">
        <f t="shared" si="58"/>
        <v>43909</v>
      </c>
      <c r="G82" s="8">
        <f>SUMIF(Fluxo_Diário!$D$9:$D$1048576,Fluxo_Diário_DB!B82,Fluxo_Diário!$E$9:$E$1048576)</f>
        <v>0</v>
      </c>
      <c r="H82" s="8">
        <f t="shared" si="61"/>
        <v>68645</v>
      </c>
    </row>
    <row r="83" spans="2:8" x14ac:dyDescent="0.25">
      <c r="B83" s="10">
        <f t="shared" si="59"/>
        <v>43910</v>
      </c>
      <c r="C83" s="8">
        <f>SUMIF(Fluxo_Diário!$B$9:$B$1048576,Fluxo_Diário_DB!B83,Fluxo_Diário!$C$9:$C$1048576)</f>
        <v>-1556</v>
      </c>
      <c r="D83" s="8">
        <f t="shared" si="60"/>
        <v>65709</v>
      </c>
      <c r="F83" s="43">
        <f t="shared" si="58"/>
        <v>43910</v>
      </c>
      <c r="G83" s="8">
        <f>SUMIF(Fluxo_Diário!$D$9:$D$1048576,Fluxo_Diário_DB!B83,Fluxo_Diário!$E$9:$E$1048576)</f>
        <v>0</v>
      </c>
      <c r="H83" s="8">
        <f t="shared" si="61"/>
        <v>68645</v>
      </c>
    </row>
    <row r="84" spans="2:8" x14ac:dyDescent="0.25">
      <c r="B84" s="10">
        <f t="shared" si="59"/>
        <v>43911</v>
      </c>
      <c r="C84" s="8">
        <f>SUMIF(Fluxo_Diário!$B$9:$B$1048576,Fluxo_Diário_DB!B84,Fluxo_Diário!$C$9:$C$1048576)</f>
        <v>0</v>
      </c>
      <c r="D84" s="8">
        <f t="shared" si="60"/>
        <v>65709</v>
      </c>
      <c r="F84" s="43">
        <f t="shared" si="58"/>
        <v>43911</v>
      </c>
      <c r="G84" s="8">
        <f>SUMIF(Fluxo_Diário!$D$9:$D$1048576,Fluxo_Diário_DB!B84,Fluxo_Diário!$E$9:$E$1048576)</f>
        <v>-1380</v>
      </c>
      <c r="H84" s="8">
        <f t="shared" si="61"/>
        <v>67265</v>
      </c>
    </row>
    <row r="85" spans="2:8" x14ac:dyDescent="0.25">
      <c r="B85" s="10">
        <f t="shared" si="59"/>
        <v>43912</v>
      </c>
      <c r="C85" s="8">
        <f>SUMIF(Fluxo_Diário!$B$9:$B$1048576,Fluxo_Diário_DB!B85,Fluxo_Diário!$C$9:$C$1048576)</f>
        <v>8534</v>
      </c>
      <c r="D85" s="8">
        <f t="shared" si="60"/>
        <v>74243</v>
      </c>
      <c r="F85" s="43">
        <f t="shared" si="58"/>
        <v>43912</v>
      </c>
      <c r="G85" s="8">
        <f>SUMIF(Fluxo_Diário!$D$9:$D$1048576,Fluxo_Diário_DB!B85,Fluxo_Diário!$E$9:$E$1048576)</f>
        <v>0</v>
      </c>
      <c r="H85" s="8">
        <f t="shared" si="61"/>
        <v>67265</v>
      </c>
    </row>
    <row r="86" spans="2:8" x14ac:dyDescent="0.25">
      <c r="B86" s="10">
        <f t="shared" si="59"/>
        <v>43913</v>
      </c>
      <c r="C86" s="8">
        <f>SUMIF(Fluxo_Diário!$B$9:$B$1048576,Fluxo_Diário_DB!B86,Fluxo_Diário!$C$9:$C$1048576)</f>
        <v>0</v>
      </c>
      <c r="D86" s="8">
        <f t="shared" si="60"/>
        <v>74243</v>
      </c>
      <c r="F86" s="43">
        <f t="shared" si="58"/>
        <v>43913</v>
      </c>
      <c r="G86" s="8">
        <f>SUMIF(Fluxo_Diário!$D$9:$D$1048576,Fluxo_Diário_DB!B86,Fluxo_Diário!$E$9:$E$1048576)</f>
        <v>6978</v>
      </c>
      <c r="H86" s="8">
        <f t="shared" si="61"/>
        <v>74243</v>
      </c>
    </row>
    <row r="87" spans="2:8" x14ac:dyDescent="0.25">
      <c r="B87" s="10">
        <f t="shared" si="59"/>
        <v>43914</v>
      </c>
      <c r="C87" s="8">
        <f>SUMIF(Fluxo_Diário!$B$9:$B$1048576,Fluxo_Diário_DB!B87,Fluxo_Diário!$C$9:$C$1048576)</f>
        <v>4635</v>
      </c>
      <c r="D87" s="8">
        <f t="shared" si="60"/>
        <v>78878</v>
      </c>
      <c r="F87" s="43">
        <f t="shared" si="58"/>
        <v>43914</v>
      </c>
      <c r="G87" s="8">
        <f>SUMIF(Fluxo_Diário!$D$9:$D$1048576,Fluxo_Diário_DB!B87,Fluxo_Diário!$E$9:$E$1048576)</f>
        <v>0</v>
      </c>
      <c r="H87" s="8">
        <f t="shared" si="61"/>
        <v>74243</v>
      </c>
    </row>
    <row r="88" spans="2:8" x14ac:dyDescent="0.25">
      <c r="B88" s="10">
        <f t="shared" si="59"/>
        <v>43915</v>
      </c>
      <c r="C88" s="8">
        <f>SUMIF(Fluxo_Diário!$B$9:$B$1048576,Fluxo_Diário_DB!B88,Fluxo_Diário!$C$9:$C$1048576)</f>
        <v>0</v>
      </c>
      <c r="D88" s="8">
        <f t="shared" si="60"/>
        <v>78878</v>
      </c>
      <c r="F88" s="43">
        <f t="shared" si="58"/>
        <v>43915</v>
      </c>
      <c r="G88" s="8">
        <f>SUMIF(Fluxo_Diário!$D$9:$D$1048576,Fluxo_Diário_DB!B88,Fluxo_Diário!$E$9:$E$1048576)</f>
        <v>0</v>
      </c>
      <c r="H88" s="8">
        <f t="shared" si="61"/>
        <v>74243</v>
      </c>
    </row>
    <row r="89" spans="2:8" x14ac:dyDescent="0.25">
      <c r="B89" s="10">
        <f t="shared" si="59"/>
        <v>43916</v>
      </c>
      <c r="C89" s="8">
        <f>SUMIF(Fluxo_Diário!$B$9:$B$1048576,Fluxo_Diário_DB!B89,Fluxo_Diário!$C$9:$C$1048576)</f>
        <v>11307</v>
      </c>
      <c r="D89" s="8">
        <f t="shared" si="60"/>
        <v>90185</v>
      </c>
      <c r="F89" s="43">
        <f t="shared" si="58"/>
        <v>43916</v>
      </c>
      <c r="G89" s="8">
        <f>SUMIF(Fluxo_Diário!$D$9:$D$1048576,Fluxo_Diário_DB!B89,Fluxo_Diário!$E$9:$E$1048576)</f>
        <v>0</v>
      </c>
      <c r="H89" s="8">
        <f t="shared" si="61"/>
        <v>74243</v>
      </c>
    </row>
    <row r="90" spans="2:8" x14ac:dyDescent="0.25">
      <c r="B90" s="10">
        <f t="shared" si="59"/>
        <v>43917</v>
      </c>
      <c r="C90" s="8">
        <f>SUMIF(Fluxo_Diário!$B$9:$B$1048576,Fluxo_Diário_DB!B90,Fluxo_Diário!$C$9:$C$1048576)</f>
        <v>0</v>
      </c>
      <c r="D90" s="8">
        <f t="shared" si="60"/>
        <v>90185</v>
      </c>
      <c r="F90" s="43">
        <f t="shared" si="58"/>
        <v>43917</v>
      </c>
      <c r="G90" s="8">
        <f>SUMIF(Fluxo_Diário!$D$9:$D$1048576,Fluxo_Diário_DB!B90,Fluxo_Diário!$E$9:$E$1048576)</f>
        <v>15942</v>
      </c>
      <c r="H90" s="8">
        <f t="shared" si="61"/>
        <v>90185</v>
      </c>
    </row>
    <row r="91" spans="2:8" x14ac:dyDescent="0.25">
      <c r="B91" s="10">
        <f t="shared" si="59"/>
        <v>43918</v>
      </c>
      <c r="C91" s="8">
        <f>SUMIF(Fluxo_Diário!$B$9:$B$1048576,Fluxo_Diário_DB!B91,Fluxo_Diário!$C$9:$C$1048576)</f>
        <v>-593</v>
      </c>
      <c r="D91" s="8">
        <f t="shared" si="60"/>
        <v>89592</v>
      </c>
      <c r="F91" s="43">
        <f t="shared" si="58"/>
        <v>43918</v>
      </c>
      <c r="G91" s="8">
        <f>SUMIF(Fluxo_Diário!$D$9:$D$1048576,Fluxo_Diário_DB!B91,Fluxo_Diário!$E$9:$E$1048576)</f>
        <v>0</v>
      </c>
      <c r="H91" s="8">
        <f t="shared" si="61"/>
        <v>90185</v>
      </c>
    </row>
    <row r="92" spans="2:8" x14ac:dyDescent="0.25">
      <c r="B92" s="10">
        <f t="shared" si="59"/>
        <v>43919</v>
      </c>
      <c r="C92" s="8">
        <f>SUMIF(Fluxo_Diário!$B$9:$B$1048576,Fluxo_Diário_DB!B92,Fluxo_Diário!$C$9:$C$1048576)</f>
        <v>0</v>
      </c>
      <c r="D92" s="8">
        <f t="shared" si="60"/>
        <v>89592</v>
      </c>
      <c r="F92" s="43">
        <f t="shared" si="58"/>
        <v>43919</v>
      </c>
      <c r="G92" s="8">
        <f>SUMIF(Fluxo_Diário!$D$9:$D$1048576,Fluxo_Diário_DB!B92,Fluxo_Diário!$E$9:$E$1048576)</f>
        <v>0</v>
      </c>
      <c r="H92" s="8">
        <f t="shared" si="61"/>
        <v>90185</v>
      </c>
    </row>
    <row r="93" spans="2:8" x14ac:dyDescent="0.25">
      <c r="B93" s="10">
        <f t="shared" si="59"/>
        <v>43920</v>
      </c>
      <c r="C93" s="8">
        <f>SUMIF(Fluxo_Diário!$B$9:$B$1048576,Fluxo_Diário_DB!B93,Fluxo_Diário!$C$9:$C$1048576)</f>
        <v>-3135</v>
      </c>
      <c r="D93" s="8">
        <f t="shared" si="60"/>
        <v>86457</v>
      </c>
      <c r="F93" s="43">
        <f t="shared" si="58"/>
        <v>43920</v>
      </c>
      <c r="G93" s="8">
        <f>SUMIF(Fluxo_Diário!$D$9:$D$1048576,Fluxo_Diário_DB!B93,Fluxo_Diário!$E$9:$E$1048576)</f>
        <v>0</v>
      </c>
      <c r="H93" s="8">
        <f t="shared" si="61"/>
        <v>90185</v>
      </c>
    </row>
    <row r="94" spans="2:8" x14ac:dyDescent="0.25">
      <c r="B94" s="10">
        <f t="shared" si="59"/>
        <v>43921</v>
      </c>
      <c r="C94" s="8">
        <f>SUMIF(Fluxo_Diário!$B$9:$B$1048576,Fluxo_Diário_DB!B94,Fluxo_Diário!$C$9:$C$1048576)</f>
        <v>0</v>
      </c>
      <c r="D94" s="8">
        <f t="shared" si="60"/>
        <v>86457</v>
      </c>
      <c r="F94" s="43">
        <f t="shared" si="58"/>
        <v>43921</v>
      </c>
      <c r="G94" s="8">
        <f>SUMIF(Fluxo_Diário!$D$9:$D$1048576,Fluxo_Diário_DB!B94,Fluxo_Diário!$E$9:$E$1048576)</f>
        <v>-593</v>
      </c>
      <c r="H94" s="8">
        <f t="shared" si="61"/>
        <v>89592</v>
      </c>
    </row>
    <row r="95" spans="2:8" x14ac:dyDescent="0.25">
      <c r="B95" s="10">
        <f t="shared" si="59"/>
        <v>43922</v>
      </c>
      <c r="C95" s="8">
        <f>SUMIF(Fluxo_Diário!$B$9:$B$1048576,Fluxo_Diário_DB!B95,Fluxo_Diário!$C$9:$C$1048576)</f>
        <v>-1669</v>
      </c>
      <c r="D95" s="8">
        <f t="shared" si="60"/>
        <v>84788</v>
      </c>
      <c r="F95" s="43">
        <f t="shared" si="58"/>
        <v>43922</v>
      </c>
      <c r="G95" s="8">
        <f>SUMIF(Fluxo_Diário!$D$9:$D$1048576,Fluxo_Diário_DB!B95,Fluxo_Diário!$E$9:$E$1048576)</f>
        <v>-3135</v>
      </c>
      <c r="H95" s="8">
        <f t="shared" si="61"/>
        <v>86457</v>
      </c>
    </row>
    <row r="96" spans="2:8" x14ac:dyDescent="0.25">
      <c r="B96" s="10">
        <f t="shared" si="59"/>
        <v>43923</v>
      </c>
      <c r="C96" s="8">
        <f>SUMIF(Fluxo_Diário!$B$9:$B$1048576,Fluxo_Diário_DB!B96,Fluxo_Diário!$C$9:$C$1048576)</f>
        <v>0</v>
      </c>
      <c r="D96" s="8">
        <f t="shared" si="60"/>
        <v>84788</v>
      </c>
      <c r="F96" s="43">
        <f t="shared" si="58"/>
        <v>43923</v>
      </c>
      <c r="G96" s="8">
        <f>SUMIF(Fluxo_Diário!$D$9:$D$1048576,Fluxo_Diário_DB!B96,Fluxo_Diário!$E$9:$E$1048576)</f>
        <v>0</v>
      </c>
      <c r="H96" s="8">
        <f t="shared" si="61"/>
        <v>86457</v>
      </c>
    </row>
    <row r="97" spans="2:8" x14ac:dyDescent="0.25">
      <c r="B97" s="10">
        <f t="shared" si="59"/>
        <v>43924</v>
      </c>
      <c r="C97" s="8">
        <f>SUMIF(Fluxo_Diário!$B$9:$B$1048576,Fluxo_Diário_DB!B97,Fluxo_Diário!$C$9:$C$1048576)</f>
        <v>-876</v>
      </c>
      <c r="D97" s="8">
        <f t="shared" si="60"/>
        <v>83912</v>
      </c>
      <c r="F97" s="43">
        <f t="shared" si="58"/>
        <v>43924</v>
      </c>
      <c r="G97" s="8">
        <f>SUMIF(Fluxo_Diário!$D$9:$D$1048576,Fluxo_Diário_DB!B97,Fluxo_Diário!$E$9:$E$1048576)</f>
        <v>0</v>
      </c>
      <c r="H97" s="8">
        <f t="shared" si="61"/>
        <v>86457</v>
      </c>
    </row>
    <row r="98" spans="2:8" x14ac:dyDescent="0.25">
      <c r="B98" s="10">
        <f t="shared" si="59"/>
        <v>43925</v>
      </c>
      <c r="C98" s="8">
        <f>SUMIF(Fluxo_Diário!$B$9:$B$1048576,Fluxo_Diário_DB!B98,Fluxo_Diário!$C$9:$C$1048576)</f>
        <v>0</v>
      </c>
      <c r="D98" s="8">
        <f t="shared" si="60"/>
        <v>83912</v>
      </c>
      <c r="F98" s="43">
        <f t="shared" si="58"/>
        <v>43925</v>
      </c>
      <c r="G98" s="8">
        <f>SUMIF(Fluxo_Diário!$D$9:$D$1048576,Fluxo_Diário_DB!B98,Fluxo_Diário!$E$9:$E$1048576)</f>
        <v>-2545</v>
      </c>
      <c r="H98" s="8">
        <f t="shared" si="61"/>
        <v>83912</v>
      </c>
    </row>
    <row r="99" spans="2:8" x14ac:dyDescent="0.25">
      <c r="B99" s="10">
        <f t="shared" si="59"/>
        <v>43926</v>
      </c>
      <c r="C99" s="8">
        <f>SUMIF(Fluxo_Diário!$B$9:$B$1048576,Fluxo_Diário_DB!B99,Fluxo_Diário!$C$9:$C$1048576)</f>
        <v>-2072</v>
      </c>
      <c r="D99" s="8">
        <f t="shared" si="60"/>
        <v>81840</v>
      </c>
      <c r="F99" s="43">
        <f t="shared" si="58"/>
        <v>43926</v>
      </c>
      <c r="G99" s="8">
        <f>SUMIF(Fluxo_Diário!$D$9:$D$1048576,Fluxo_Diário_DB!B99,Fluxo_Diário!$E$9:$E$1048576)</f>
        <v>0</v>
      </c>
      <c r="H99" s="8">
        <f t="shared" si="61"/>
        <v>83912</v>
      </c>
    </row>
    <row r="100" spans="2:8" x14ac:dyDescent="0.25">
      <c r="B100" s="10">
        <f t="shared" si="59"/>
        <v>43927</v>
      </c>
      <c r="C100" s="8">
        <f>SUMIF(Fluxo_Diário!$B$9:$B$1048576,Fluxo_Diário_DB!B100,Fluxo_Diário!$C$9:$C$1048576)</f>
        <v>0</v>
      </c>
      <c r="D100" s="8">
        <f t="shared" si="60"/>
        <v>81840</v>
      </c>
      <c r="F100" s="43">
        <f t="shared" si="58"/>
        <v>43927</v>
      </c>
      <c r="G100" s="8">
        <f>SUMIF(Fluxo_Diário!$D$9:$D$1048576,Fluxo_Diário_DB!B100,Fluxo_Diário!$E$9:$E$1048576)</f>
        <v>0</v>
      </c>
      <c r="H100" s="8">
        <f t="shared" si="61"/>
        <v>83912</v>
      </c>
    </row>
    <row r="101" spans="2:8" x14ac:dyDescent="0.25">
      <c r="B101" s="10">
        <f t="shared" si="59"/>
        <v>43928</v>
      </c>
      <c r="C101" s="8">
        <f>SUMIF(Fluxo_Diário!$B$9:$B$1048576,Fluxo_Diário_DB!B101,Fluxo_Diário!$C$9:$C$1048576)</f>
        <v>9096</v>
      </c>
      <c r="D101" s="8">
        <f t="shared" si="60"/>
        <v>90936</v>
      </c>
      <c r="F101" s="43">
        <f t="shared" si="58"/>
        <v>43928</v>
      </c>
      <c r="G101" s="8">
        <f>SUMIF(Fluxo_Diário!$D$9:$D$1048576,Fluxo_Diário_DB!B101,Fluxo_Diário!$E$9:$E$1048576)</f>
        <v>0</v>
      </c>
      <c r="H101" s="8">
        <f t="shared" si="61"/>
        <v>83912</v>
      </c>
    </row>
    <row r="102" spans="2:8" x14ac:dyDescent="0.25">
      <c r="B102" s="10">
        <f t="shared" si="59"/>
        <v>43929</v>
      </c>
      <c r="C102" s="8">
        <f>SUMIF(Fluxo_Diário!$B$9:$B$1048576,Fluxo_Diário_DB!B102,Fluxo_Diário!$C$9:$C$1048576)</f>
        <v>0</v>
      </c>
      <c r="D102" s="8">
        <f t="shared" si="60"/>
        <v>90936</v>
      </c>
      <c r="F102" s="43">
        <f t="shared" si="58"/>
        <v>43929</v>
      </c>
      <c r="G102" s="8">
        <f>SUMIF(Fluxo_Diário!$D$9:$D$1048576,Fluxo_Diário_DB!B102,Fluxo_Diário!$E$9:$E$1048576)</f>
        <v>-2072</v>
      </c>
      <c r="H102" s="8">
        <f t="shared" si="61"/>
        <v>81840</v>
      </c>
    </row>
    <row r="103" spans="2:8" x14ac:dyDescent="0.25">
      <c r="B103" s="10">
        <f t="shared" si="59"/>
        <v>43930</v>
      </c>
      <c r="C103" s="8">
        <f>SUMIF(Fluxo_Diário!$B$9:$B$1048576,Fluxo_Diário_DB!B103,Fluxo_Diário!$C$9:$C$1048576)</f>
        <v>9570</v>
      </c>
      <c r="D103" s="8">
        <f t="shared" si="60"/>
        <v>100506</v>
      </c>
      <c r="F103" s="43">
        <f t="shared" si="58"/>
        <v>43930</v>
      </c>
      <c r="G103" s="8">
        <f>SUMIF(Fluxo_Diário!$D$9:$D$1048576,Fluxo_Diário_DB!B103,Fluxo_Diário!$E$9:$E$1048576)</f>
        <v>9096</v>
      </c>
      <c r="H103" s="8">
        <f t="shared" si="61"/>
        <v>90936</v>
      </c>
    </row>
    <row r="104" spans="2:8" x14ac:dyDescent="0.25">
      <c r="B104" s="10">
        <f t="shared" si="59"/>
        <v>43931</v>
      </c>
      <c r="C104" s="8">
        <f>SUMIF(Fluxo_Diário!$B$9:$B$1048576,Fluxo_Diário_DB!B104,Fluxo_Diário!$C$9:$C$1048576)</f>
        <v>0</v>
      </c>
      <c r="D104" s="8">
        <f t="shared" si="60"/>
        <v>100506</v>
      </c>
      <c r="F104" s="43">
        <f t="shared" si="58"/>
        <v>43931</v>
      </c>
      <c r="G104" s="8">
        <f>SUMIF(Fluxo_Diário!$D$9:$D$1048576,Fluxo_Diário_DB!B104,Fluxo_Diário!$E$9:$E$1048576)</f>
        <v>0</v>
      </c>
      <c r="H104" s="8">
        <f t="shared" si="61"/>
        <v>90936</v>
      </c>
    </row>
    <row r="105" spans="2:8" x14ac:dyDescent="0.25">
      <c r="B105" s="10">
        <f t="shared" si="59"/>
        <v>43932</v>
      </c>
      <c r="C105" s="8">
        <f>SUMIF(Fluxo_Diário!$B$9:$B$1048576,Fluxo_Diário_DB!B105,Fluxo_Diário!$C$9:$C$1048576)</f>
        <v>3679</v>
      </c>
      <c r="D105" s="8">
        <f t="shared" si="60"/>
        <v>104185</v>
      </c>
      <c r="F105" s="43">
        <f t="shared" si="58"/>
        <v>43932</v>
      </c>
      <c r="G105" s="8">
        <f>SUMIF(Fluxo_Diário!$D$9:$D$1048576,Fluxo_Diário_DB!B105,Fluxo_Diário!$E$9:$E$1048576)</f>
        <v>9570</v>
      </c>
      <c r="H105" s="8">
        <f t="shared" si="61"/>
        <v>100506</v>
      </c>
    </row>
    <row r="106" spans="2:8" x14ac:dyDescent="0.25">
      <c r="B106" s="10">
        <f t="shared" si="59"/>
        <v>43933</v>
      </c>
      <c r="C106" s="8">
        <f>SUMIF(Fluxo_Diário!$B$9:$B$1048576,Fluxo_Diário_DB!B106,Fluxo_Diário!$C$9:$C$1048576)</f>
        <v>0</v>
      </c>
      <c r="D106" s="8">
        <f t="shared" si="60"/>
        <v>104185</v>
      </c>
      <c r="F106" s="43">
        <f t="shared" si="58"/>
        <v>43933</v>
      </c>
      <c r="G106" s="8">
        <f>SUMIF(Fluxo_Diário!$D$9:$D$1048576,Fluxo_Diário_DB!B106,Fluxo_Diário!$E$9:$E$1048576)</f>
        <v>3679</v>
      </c>
      <c r="H106" s="8">
        <f t="shared" si="61"/>
        <v>104185</v>
      </c>
    </row>
    <row r="107" spans="2:8" x14ac:dyDescent="0.25">
      <c r="B107" s="10">
        <f t="shared" si="59"/>
        <v>43934</v>
      </c>
      <c r="C107" s="8">
        <f>SUMIF(Fluxo_Diário!$B$9:$B$1048576,Fluxo_Diário_DB!B107,Fluxo_Diário!$C$9:$C$1048576)</f>
        <v>-1145</v>
      </c>
      <c r="D107" s="8">
        <f t="shared" si="60"/>
        <v>103040</v>
      </c>
      <c r="F107" s="43">
        <f t="shared" si="58"/>
        <v>43934</v>
      </c>
      <c r="G107" s="8">
        <f>SUMIF(Fluxo_Diário!$D$9:$D$1048576,Fluxo_Diário_DB!B107,Fluxo_Diário!$E$9:$E$1048576)</f>
        <v>0</v>
      </c>
      <c r="H107" s="8">
        <f t="shared" si="61"/>
        <v>104185</v>
      </c>
    </row>
    <row r="108" spans="2:8" x14ac:dyDescent="0.25">
      <c r="B108" s="10">
        <f t="shared" si="59"/>
        <v>43935</v>
      </c>
      <c r="C108" s="8">
        <f>SUMIF(Fluxo_Diário!$B$9:$B$1048576,Fluxo_Diário_DB!B108,Fluxo_Diário!$C$9:$C$1048576)</f>
        <v>0</v>
      </c>
      <c r="D108" s="8">
        <f t="shared" si="60"/>
        <v>103040</v>
      </c>
      <c r="F108" s="43">
        <f t="shared" si="58"/>
        <v>43935</v>
      </c>
      <c r="G108" s="8">
        <f>SUMIF(Fluxo_Diário!$D$9:$D$1048576,Fluxo_Diário_DB!B108,Fluxo_Diário!$E$9:$E$1048576)</f>
        <v>0</v>
      </c>
      <c r="H108" s="8">
        <f t="shared" si="61"/>
        <v>104185</v>
      </c>
    </row>
    <row r="109" spans="2:8" x14ac:dyDescent="0.25">
      <c r="B109" s="10">
        <f t="shared" si="59"/>
        <v>43936</v>
      </c>
      <c r="C109" s="8">
        <f>SUMIF(Fluxo_Diário!$B$9:$B$1048576,Fluxo_Diário_DB!B109,Fluxo_Diário!$C$9:$C$1048576)</f>
        <v>-1484</v>
      </c>
      <c r="D109" s="8">
        <f t="shared" si="60"/>
        <v>101556</v>
      </c>
      <c r="F109" s="43">
        <f t="shared" si="58"/>
        <v>43936</v>
      </c>
      <c r="G109" s="8">
        <f>SUMIF(Fluxo_Diário!$D$9:$D$1048576,Fluxo_Diário_DB!B109,Fluxo_Diário!$E$9:$E$1048576)</f>
        <v>-1145</v>
      </c>
      <c r="H109" s="8">
        <f t="shared" si="61"/>
        <v>103040</v>
      </c>
    </row>
    <row r="110" spans="2:8" x14ac:dyDescent="0.25">
      <c r="B110" s="10">
        <f t="shared" si="59"/>
        <v>43937</v>
      </c>
      <c r="C110" s="8">
        <f>SUMIF(Fluxo_Diário!$B$9:$B$1048576,Fluxo_Diário_DB!B110,Fluxo_Diário!$C$9:$C$1048576)</f>
        <v>0</v>
      </c>
      <c r="D110" s="8">
        <f t="shared" si="60"/>
        <v>101556</v>
      </c>
      <c r="F110" s="43">
        <f t="shared" si="58"/>
        <v>43937</v>
      </c>
      <c r="G110" s="8">
        <f>SUMIF(Fluxo_Diário!$D$9:$D$1048576,Fluxo_Diário_DB!B110,Fluxo_Diário!$E$9:$E$1048576)</f>
        <v>-1484</v>
      </c>
      <c r="H110" s="8">
        <f t="shared" si="61"/>
        <v>101556</v>
      </c>
    </row>
    <row r="111" spans="2:8" x14ac:dyDescent="0.25">
      <c r="B111" s="10">
        <f t="shared" si="59"/>
        <v>43938</v>
      </c>
      <c r="C111" s="8">
        <f>SUMIF(Fluxo_Diário!$B$9:$B$1048576,Fluxo_Diário_DB!B111,Fluxo_Diário!$C$9:$C$1048576)</f>
        <v>9493</v>
      </c>
      <c r="D111" s="8">
        <f t="shared" si="60"/>
        <v>111049</v>
      </c>
      <c r="F111" s="43">
        <f t="shared" si="58"/>
        <v>43938</v>
      </c>
      <c r="G111" s="8">
        <f>SUMIF(Fluxo_Diário!$D$9:$D$1048576,Fluxo_Diário_DB!B111,Fluxo_Diário!$E$9:$E$1048576)</f>
        <v>0</v>
      </c>
      <c r="H111" s="8">
        <f t="shared" si="61"/>
        <v>101556</v>
      </c>
    </row>
    <row r="112" spans="2:8" x14ac:dyDescent="0.25">
      <c r="B112" s="10">
        <f t="shared" si="59"/>
        <v>43939</v>
      </c>
      <c r="C112" s="8">
        <f>SUMIF(Fluxo_Diário!$B$9:$B$1048576,Fluxo_Diário_DB!B112,Fluxo_Diário!$C$9:$C$1048576)</f>
        <v>0</v>
      </c>
      <c r="D112" s="8">
        <f t="shared" si="60"/>
        <v>111049</v>
      </c>
      <c r="F112" s="43">
        <f t="shared" si="58"/>
        <v>43939</v>
      </c>
      <c r="G112" s="8">
        <f>SUMIF(Fluxo_Diário!$D$9:$D$1048576,Fluxo_Diário_DB!B112,Fluxo_Diário!$E$9:$E$1048576)</f>
        <v>0</v>
      </c>
      <c r="H112" s="8">
        <f t="shared" si="61"/>
        <v>101556</v>
      </c>
    </row>
    <row r="113" spans="2:8" x14ac:dyDescent="0.25">
      <c r="B113" s="10">
        <f t="shared" si="59"/>
        <v>43940</v>
      </c>
      <c r="C113" s="8">
        <f>SUMIF(Fluxo_Diário!$B$9:$B$1048576,Fluxo_Diário_DB!B113,Fluxo_Diário!$C$9:$C$1048576)</f>
        <v>-380</v>
      </c>
      <c r="D113" s="8">
        <f t="shared" si="60"/>
        <v>110669</v>
      </c>
      <c r="F113" s="43">
        <f t="shared" si="58"/>
        <v>43940</v>
      </c>
      <c r="G113" s="8">
        <f>SUMIF(Fluxo_Diário!$D$9:$D$1048576,Fluxo_Diário_DB!B113,Fluxo_Diário!$E$9:$E$1048576)</f>
        <v>9493</v>
      </c>
      <c r="H113" s="8">
        <f t="shared" si="61"/>
        <v>111049</v>
      </c>
    </row>
    <row r="114" spans="2:8" x14ac:dyDescent="0.25">
      <c r="B114" s="10">
        <f t="shared" si="59"/>
        <v>43941</v>
      </c>
      <c r="C114" s="8">
        <f>SUMIF(Fluxo_Diário!$B$9:$B$1048576,Fluxo_Diário_DB!B114,Fluxo_Diário!$C$9:$C$1048576)</f>
        <v>0</v>
      </c>
      <c r="D114" s="8">
        <f t="shared" si="60"/>
        <v>110669</v>
      </c>
      <c r="F114" s="43">
        <f t="shared" si="58"/>
        <v>43941</v>
      </c>
      <c r="G114" s="8">
        <f>SUMIF(Fluxo_Diário!$D$9:$D$1048576,Fluxo_Diário_DB!B114,Fluxo_Diário!$E$9:$E$1048576)</f>
        <v>0</v>
      </c>
      <c r="H114" s="8">
        <f t="shared" si="61"/>
        <v>111049</v>
      </c>
    </row>
    <row r="115" spans="2:8" x14ac:dyDescent="0.25">
      <c r="B115" s="10">
        <f t="shared" si="59"/>
        <v>43942</v>
      </c>
      <c r="C115" s="8">
        <f>SUMIF(Fluxo_Diário!$B$9:$B$1048576,Fluxo_Diário_DB!B115,Fluxo_Diário!$C$9:$C$1048576)</f>
        <v>-2428</v>
      </c>
      <c r="D115" s="8">
        <f t="shared" si="60"/>
        <v>108241</v>
      </c>
      <c r="F115" s="43">
        <f t="shared" si="58"/>
        <v>43942</v>
      </c>
      <c r="G115" s="8">
        <f>SUMIF(Fluxo_Diário!$D$9:$D$1048576,Fluxo_Diário_DB!B115,Fluxo_Diário!$E$9:$E$1048576)</f>
        <v>-380</v>
      </c>
      <c r="H115" s="8">
        <f t="shared" si="61"/>
        <v>110669</v>
      </c>
    </row>
    <row r="116" spans="2:8" x14ac:dyDescent="0.25">
      <c r="B116" s="10">
        <f t="shared" si="59"/>
        <v>43943</v>
      </c>
      <c r="C116" s="8">
        <f>SUMIF(Fluxo_Diário!$B$9:$B$1048576,Fluxo_Diário_DB!B116,Fluxo_Diário!$C$9:$C$1048576)</f>
        <v>0</v>
      </c>
      <c r="D116" s="8">
        <f t="shared" si="60"/>
        <v>108241</v>
      </c>
      <c r="F116" s="43">
        <f t="shared" si="58"/>
        <v>43943</v>
      </c>
      <c r="G116" s="8">
        <f>SUMIF(Fluxo_Diário!$D$9:$D$1048576,Fluxo_Diário_DB!B116,Fluxo_Diário!$E$9:$E$1048576)</f>
        <v>-2428</v>
      </c>
      <c r="H116" s="8">
        <f t="shared" si="61"/>
        <v>108241</v>
      </c>
    </row>
    <row r="117" spans="2:8" x14ac:dyDescent="0.25">
      <c r="B117" s="10">
        <f t="shared" si="59"/>
        <v>43944</v>
      </c>
      <c r="C117" s="8">
        <f>SUMIF(Fluxo_Diário!$B$9:$B$1048576,Fluxo_Diário_DB!B117,Fluxo_Diário!$C$9:$C$1048576)</f>
        <v>-482</v>
      </c>
      <c r="D117" s="8">
        <f t="shared" si="60"/>
        <v>107759</v>
      </c>
      <c r="F117" s="43">
        <f t="shared" si="58"/>
        <v>43944</v>
      </c>
      <c r="G117" s="8">
        <f>SUMIF(Fluxo_Diário!$D$9:$D$1048576,Fluxo_Diário_DB!B117,Fluxo_Diário!$E$9:$E$1048576)</f>
        <v>0</v>
      </c>
      <c r="H117" s="8">
        <f t="shared" si="61"/>
        <v>108241</v>
      </c>
    </row>
    <row r="118" spans="2:8" x14ac:dyDescent="0.25">
      <c r="B118" s="10">
        <f t="shared" si="59"/>
        <v>43945</v>
      </c>
      <c r="C118" s="8">
        <f>SUMIF(Fluxo_Diário!$B$9:$B$1048576,Fluxo_Diário_DB!B118,Fluxo_Diário!$C$9:$C$1048576)</f>
        <v>0</v>
      </c>
      <c r="D118" s="8">
        <f t="shared" si="60"/>
        <v>107759</v>
      </c>
      <c r="F118" s="43">
        <f t="shared" si="58"/>
        <v>43945</v>
      </c>
      <c r="G118" s="8">
        <f>SUMIF(Fluxo_Diário!$D$9:$D$1048576,Fluxo_Diário_DB!B118,Fluxo_Diário!$E$9:$E$1048576)</f>
        <v>0</v>
      </c>
      <c r="H118" s="8">
        <f t="shared" si="61"/>
        <v>108241</v>
      </c>
    </row>
    <row r="119" spans="2:8" x14ac:dyDescent="0.25">
      <c r="B119" s="10">
        <f t="shared" si="59"/>
        <v>43946</v>
      </c>
      <c r="C119" s="8">
        <f>SUMIF(Fluxo_Diário!$B$9:$B$1048576,Fluxo_Diário_DB!B119,Fluxo_Diário!$C$9:$C$1048576)</f>
        <v>-3081</v>
      </c>
      <c r="D119" s="8">
        <f t="shared" si="60"/>
        <v>104678</v>
      </c>
      <c r="F119" s="43">
        <f t="shared" si="58"/>
        <v>43946</v>
      </c>
      <c r="G119" s="8">
        <f>SUMIF(Fluxo_Diário!$D$9:$D$1048576,Fluxo_Diário_DB!B119,Fluxo_Diário!$E$9:$E$1048576)</f>
        <v>-482</v>
      </c>
      <c r="H119" s="8">
        <f t="shared" si="61"/>
        <v>107759</v>
      </c>
    </row>
    <row r="120" spans="2:8" x14ac:dyDescent="0.25">
      <c r="B120" s="10">
        <f t="shared" si="59"/>
        <v>43947</v>
      </c>
      <c r="C120" s="8">
        <f>SUMIF(Fluxo_Diário!$B$9:$B$1048576,Fluxo_Diário_DB!B120,Fluxo_Diário!$C$9:$C$1048576)</f>
        <v>0</v>
      </c>
      <c r="D120" s="8">
        <f t="shared" si="60"/>
        <v>104678</v>
      </c>
      <c r="F120" s="43">
        <f t="shared" si="58"/>
        <v>43947</v>
      </c>
      <c r="G120" s="8">
        <f>SUMIF(Fluxo_Diário!$D$9:$D$1048576,Fluxo_Diário_DB!B120,Fluxo_Diário!$E$9:$E$1048576)</f>
        <v>0</v>
      </c>
      <c r="H120" s="8">
        <f t="shared" si="61"/>
        <v>107759</v>
      </c>
    </row>
    <row r="121" spans="2:8" x14ac:dyDescent="0.25">
      <c r="B121" s="10">
        <f t="shared" si="59"/>
        <v>43948</v>
      </c>
      <c r="C121" s="8">
        <f>SUMIF(Fluxo_Diário!$B$9:$B$1048576,Fluxo_Diário_DB!B121,Fluxo_Diário!$C$9:$C$1048576)</f>
        <v>-1934</v>
      </c>
      <c r="D121" s="8">
        <f t="shared" si="60"/>
        <v>102744</v>
      </c>
      <c r="F121" s="43">
        <f t="shared" si="58"/>
        <v>43948</v>
      </c>
      <c r="G121" s="8">
        <f>SUMIF(Fluxo_Diário!$D$9:$D$1048576,Fluxo_Diário_DB!B121,Fluxo_Diário!$E$9:$E$1048576)</f>
        <v>-3081</v>
      </c>
      <c r="H121" s="8">
        <f t="shared" si="61"/>
        <v>104678</v>
      </c>
    </row>
    <row r="122" spans="2:8" x14ac:dyDescent="0.25">
      <c r="B122" s="10">
        <f t="shared" si="59"/>
        <v>43949</v>
      </c>
      <c r="C122" s="8">
        <f>SUMIF(Fluxo_Diário!$B$9:$B$1048576,Fluxo_Diário_DB!B122,Fluxo_Diário!$C$9:$C$1048576)</f>
        <v>0</v>
      </c>
      <c r="D122" s="8">
        <f t="shared" si="60"/>
        <v>102744</v>
      </c>
      <c r="F122" s="43">
        <f t="shared" si="58"/>
        <v>43949</v>
      </c>
      <c r="G122" s="8">
        <f>SUMIF(Fluxo_Diário!$D$9:$D$1048576,Fluxo_Diário_DB!B122,Fluxo_Diário!$E$9:$E$1048576)</f>
        <v>-1934</v>
      </c>
      <c r="H122" s="8">
        <f t="shared" si="61"/>
        <v>102744</v>
      </c>
    </row>
    <row r="123" spans="2:8" x14ac:dyDescent="0.25">
      <c r="B123" s="10">
        <f t="shared" si="59"/>
        <v>43950</v>
      </c>
      <c r="C123" s="8">
        <f>SUMIF(Fluxo_Diário!$B$9:$B$1048576,Fluxo_Diário_DB!B123,Fluxo_Diário!$C$9:$C$1048576)</f>
        <v>-1626</v>
      </c>
      <c r="D123" s="8">
        <f t="shared" si="60"/>
        <v>101118</v>
      </c>
      <c r="F123" s="43">
        <f t="shared" si="58"/>
        <v>43950</v>
      </c>
      <c r="G123" s="8">
        <f>SUMIF(Fluxo_Diário!$D$9:$D$1048576,Fluxo_Diário_DB!B123,Fluxo_Diário!$E$9:$E$1048576)</f>
        <v>0</v>
      </c>
      <c r="H123" s="8">
        <f t="shared" si="61"/>
        <v>102744</v>
      </c>
    </row>
    <row r="124" spans="2:8" x14ac:dyDescent="0.25">
      <c r="B124" s="10">
        <f t="shared" si="59"/>
        <v>43951</v>
      </c>
      <c r="C124" s="8">
        <f>SUMIF(Fluxo_Diário!$B$9:$B$1048576,Fluxo_Diário_DB!B124,Fluxo_Diário!$C$9:$C$1048576)</f>
        <v>0</v>
      </c>
      <c r="D124" s="8">
        <f t="shared" si="60"/>
        <v>101118</v>
      </c>
      <c r="F124" s="43">
        <f t="shared" si="58"/>
        <v>43951</v>
      </c>
      <c r="G124" s="8">
        <f>SUMIF(Fluxo_Diário!$D$9:$D$1048576,Fluxo_Diário_DB!B124,Fluxo_Diário!$E$9:$E$1048576)</f>
        <v>0</v>
      </c>
      <c r="H124" s="8">
        <f t="shared" si="61"/>
        <v>102744</v>
      </c>
    </row>
    <row r="125" spans="2:8" x14ac:dyDescent="0.25">
      <c r="B125" s="10">
        <f t="shared" si="59"/>
        <v>43952</v>
      </c>
      <c r="C125" s="8">
        <f>SUMIF(Fluxo_Diário!$B$9:$B$1048576,Fluxo_Diário_DB!B125,Fluxo_Diário!$C$9:$C$1048576)</f>
        <v>-1488</v>
      </c>
      <c r="D125" s="8">
        <f t="shared" si="60"/>
        <v>99630</v>
      </c>
      <c r="F125" s="43">
        <f t="shared" si="58"/>
        <v>43952</v>
      </c>
      <c r="G125" s="8">
        <f>SUMIF(Fluxo_Diário!$D$9:$D$1048576,Fluxo_Diário_DB!B125,Fluxo_Diário!$E$9:$E$1048576)</f>
        <v>0</v>
      </c>
      <c r="H125" s="8">
        <f t="shared" si="61"/>
        <v>102744</v>
      </c>
    </row>
    <row r="126" spans="2:8" x14ac:dyDescent="0.25">
      <c r="B126" s="10">
        <f t="shared" si="59"/>
        <v>43953</v>
      </c>
      <c r="C126" s="8">
        <f>SUMIF(Fluxo_Diário!$B$9:$B$1048576,Fluxo_Diário_DB!B126,Fluxo_Diário!$C$9:$C$1048576)</f>
        <v>0</v>
      </c>
      <c r="D126" s="8">
        <f t="shared" si="60"/>
        <v>99630</v>
      </c>
      <c r="F126" s="43">
        <f t="shared" si="58"/>
        <v>43953</v>
      </c>
      <c r="G126" s="8">
        <f>SUMIF(Fluxo_Diário!$D$9:$D$1048576,Fluxo_Diário_DB!B126,Fluxo_Diário!$E$9:$E$1048576)</f>
        <v>-1626</v>
      </c>
      <c r="H126" s="8">
        <f t="shared" si="61"/>
        <v>101118</v>
      </c>
    </row>
    <row r="127" spans="2:8" x14ac:dyDescent="0.25">
      <c r="B127" s="10">
        <f t="shared" si="59"/>
        <v>43954</v>
      </c>
      <c r="C127" s="8">
        <f>SUMIF(Fluxo_Diário!$B$9:$B$1048576,Fluxo_Diário_DB!B127,Fluxo_Diário!$C$9:$C$1048576)</f>
        <v>-2853</v>
      </c>
      <c r="D127" s="8">
        <f t="shared" si="60"/>
        <v>96777</v>
      </c>
      <c r="F127" s="43">
        <f t="shared" si="58"/>
        <v>43954</v>
      </c>
      <c r="G127" s="8">
        <f>SUMIF(Fluxo_Diário!$D$9:$D$1048576,Fluxo_Diário_DB!B127,Fluxo_Diário!$E$9:$E$1048576)</f>
        <v>-1488</v>
      </c>
      <c r="H127" s="8">
        <f t="shared" si="61"/>
        <v>99630</v>
      </c>
    </row>
    <row r="128" spans="2:8" x14ac:dyDescent="0.25">
      <c r="B128" s="10">
        <f t="shared" si="59"/>
        <v>43955</v>
      </c>
      <c r="C128" s="8">
        <f>SUMIF(Fluxo_Diário!$B$9:$B$1048576,Fluxo_Diário_DB!B128,Fluxo_Diário!$C$9:$C$1048576)</f>
        <v>0</v>
      </c>
      <c r="D128" s="8">
        <f t="shared" si="60"/>
        <v>96777</v>
      </c>
      <c r="F128" s="43">
        <f t="shared" si="58"/>
        <v>43955</v>
      </c>
      <c r="G128" s="8">
        <f>SUMIF(Fluxo_Diário!$D$9:$D$1048576,Fluxo_Diário_DB!B128,Fluxo_Diário!$E$9:$E$1048576)</f>
        <v>0</v>
      </c>
      <c r="H128" s="8">
        <f t="shared" si="61"/>
        <v>99630</v>
      </c>
    </row>
    <row r="129" spans="2:8" x14ac:dyDescent="0.25">
      <c r="B129" s="10">
        <f t="shared" si="59"/>
        <v>43956</v>
      </c>
      <c r="C129" s="8">
        <f>SUMIF(Fluxo_Diário!$B$9:$B$1048576,Fluxo_Diário_DB!B129,Fluxo_Diário!$C$9:$C$1048576)</f>
        <v>-1911</v>
      </c>
      <c r="D129" s="8">
        <f t="shared" si="60"/>
        <v>94866</v>
      </c>
      <c r="F129" s="43">
        <f t="shared" si="58"/>
        <v>43956</v>
      </c>
      <c r="G129" s="8">
        <f>SUMIF(Fluxo_Diário!$D$9:$D$1048576,Fluxo_Diário_DB!B129,Fluxo_Diário!$E$9:$E$1048576)</f>
        <v>0</v>
      </c>
      <c r="H129" s="8">
        <f t="shared" si="61"/>
        <v>99630</v>
      </c>
    </row>
    <row r="130" spans="2:8" x14ac:dyDescent="0.25">
      <c r="B130" s="10">
        <f t="shared" si="59"/>
        <v>43957</v>
      </c>
      <c r="C130" s="8">
        <f>SUMIF(Fluxo_Diário!$B$9:$B$1048576,Fluxo_Diário_DB!B130,Fluxo_Diário!$C$9:$C$1048576)</f>
        <v>0</v>
      </c>
      <c r="D130" s="8">
        <f t="shared" si="60"/>
        <v>94866</v>
      </c>
      <c r="F130" s="43">
        <f t="shared" si="58"/>
        <v>43957</v>
      </c>
      <c r="G130" s="8">
        <f>SUMIF(Fluxo_Diário!$D$9:$D$1048576,Fluxo_Diário_DB!B130,Fluxo_Diário!$E$9:$E$1048576)</f>
        <v>-2853</v>
      </c>
      <c r="H130" s="8">
        <f t="shared" si="61"/>
        <v>96777</v>
      </c>
    </row>
    <row r="131" spans="2:8" x14ac:dyDescent="0.25">
      <c r="B131" s="10">
        <f t="shared" si="59"/>
        <v>43958</v>
      </c>
      <c r="C131" s="8">
        <f>SUMIF(Fluxo_Diário!$B$9:$B$1048576,Fluxo_Diário_DB!B131,Fluxo_Diário!$C$9:$C$1048576)</f>
        <v>-1358</v>
      </c>
      <c r="D131" s="8">
        <f t="shared" si="60"/>
        <v>93508</v>
      </c>
      <c r="F131" s="43">
        <f t="shared" si="58"/>
        <v>43958</v>
      </c>
      <c r="G131" s="8">
        <f>SUMIF(Fluxo_Diário!$D$9:$D$1048576,Fluxo_Diário_DB!B131,Fluxo_Diário!$E$9:$E$1048576)</f>
        <v>-1911</v>
      </c>
      <c r="H131" s="8">
        <f t="shared" si="61"/>
        <v>94866</v>
      </c>
    </row>
    <row r="132" spans="2:8" x14ac:dyDescent="0.25">
      <c r="B132" s="10">
        <f t="shared" si="59"/>
        <v>43959</v>
      </c>
      <c r="C132" s="8">
        <f>SUMIF(Fluxo_Diário!$B$9:$B$1048576,Fluxo_Diário_DB!B132,Fluxo_Diário!$C$9:$C$1048576)</f>
        <v>0</v>
      </c>
      <c r="D132" s="8">
        <f t="shared" si="60"/>
        <v>93508</v>
      </c>
      <c r="F132" s="43">
        <f t="shared" ref="F132:F195" si="62">B132</f>
        <v>43959</v>
      </c>
      <c r="G132" s="8">
        <f>SUMIF(Fluxo_Diário!$D$9:$D$1048576,Fluxo_Diário_DB!B132,Fluxo_Diário!$E$9:$E$1048576)</f>
        <v>-1358</v>
      </c>
      <c r="H132" s="8">
        <f t="shared" si="61"/>
        <v>93508</v>
      </c>
    </row>
    <row r="133" spans="2:8" x14ac:dyDescent="0.25">
      <c r="B133" s="10">
        <f t="shared" ref="B133:B196" si="63">B132+1</f>
        <v>43960</v>
      </c>
      <c r="C133" s="8">
        <f>SUMIF(Fluxo_Diário!$B$9:$B$1048576,Fluxo_Diário_DB!B133,Fluxo_Diário!$C$9:$C$1048576)</f>
        <v>-1525</v>
      </c>
      <c r="D133" s="8">
        <f t="shared" ref="D133:D196" si="64">C133+D132</f>
        <v>91983</v>
      </c>
      <c r="F133" s="43">
        <f t="shared" si="62"/>
        <v>43960</v>
      </c>
      <c r="G133" s="8">
        <f>SUMIF(Fluxo_Diário!$D$9:$D$1048576,Fluxo_Diário_DB!B133,Fluxo_Diário!$E$9:$E$1048576)</f>
        <v>0</v>
      </c>
      <c r="H133" s="8">
        <f t="shared" ref="H133:H196" si="65">G133+H132</f>
        <v>93508</v>
      </c>
    </row>
    <row r="134" spans="2:8" x14ac:dyDescent="0.25">
      <c r="B134" s="10">
        <f t="shared" si="63"/>
        <v>43961</v>
      </c>
      <c r="C134" s="8">
        <f>SUMIF(Fluxo_Diário!$B$9:$B$1048576,Fluxo_Diário_DB!B134,Fluxo_Diário!$C$9:$C$1048576)</f>
        <v>0</v>
      </c>
      <c r="D134" s="8">
        <f t="shared" si="64"/>
        <v>91983</v>
      </c>
      <c r="F134" s="43">
        <f t="shared" si="62"/>
        <v>43961</v>
      </c>
      <c r="G134" s="8">
        <f>SUMIF(Fluxo_Diário!$D$9:$D$1048576,Fluxo_Diário_DB!B134,Fluxo_Diário!$E$9:$E$1048576)</f>
        <v>0</v>
      </c>
      <c r="H134" s="8">
        <f t="shared" si="65"/>
        <v>93508</v>
      </c>
    </row>
    <row r="135" spans="2:8" x14ac:dyDescent="0.25">
      <c r="B135" s="10">
        <f t="shared" si="63"/>
        <v>43962</v>
      </c>
      <c r="C135" s="8">
        <f>SUMIF(Fluxo_Diário!$B$9:$B$1048576,Fluxo_Diário_DB!B135,Fluxo_Diário!$C$9:$C$1048576)</f>
        <v>-1047</v>
      </c>
      <c r="D135" s="8">
        <f t="shared" si="64"/>
        <v>90936</v>
      </c>
      <c r="F135" s="43">
        <f t="shared" si="62"/>
        <v>43962</v>
      </c>
      <c r="G135" s="8">
        <f>SUMIF(Fluxo_Diário!$D$9:$D$1048576,Fluxo_Diário_DB!B135,Fluxo_Diário!$E$9:$E$1048576)</f>
        <v>0</v>
      </c>
      <c r="H135" s="8">
        <f t="shared" si="65"/>
        <v>93508</v>
      </c>
    </row>
    <row r="136" spans="2:8" x14ac:dyDescent="0.25">
      <c r="B136" s="10">
        <f t="shared" si="63"/>
        <v>43963</v>
      </c>
      <c r="C136" s="8">
        <f>SUMIF(Fluxo_Diário!$B$9:$B$1048576,Fluxo_Diário_DB!B136,Fluxo_Diário!$C$9:$C$1048576)</f>
        <v>0</v>
      </c>
      <c r="D136" s="8">
        <f t="shared" si="64"/>
        <v>90936</v>
      </c>
      <c r="F136" s="43">
        <f t="shared" si="62"/>
        <v>43963</v>
      </c>
      <c r="G136" s="8">
        <f>SUMIF(Fluxo_Diário!$D$9:$D$1048576,Fluxo_Diário_DB!B136,Fluxo_Diário!$E$9:$E$1048576)</f>
        <v>-1525</v>
      </c>
      <c r="H136" s="8">
        <f t="shared" si="65"/>
        <v>91983</v>
      </c>
    </row>
    <row r="137" spans="2:8" x14ac:dyDescent="0.25">
      <c r="B137" s="10">
        <f t="shared" si="63"/>
        <v>43964</v>
      </c>
      <c r="C137" s="8">
        <f>SUMIF(Fluxo_Diário!$B$9:$B$1048576,Fluxo_Diário_DB!B137,Fluxo_Diário!$C$9:$C$1048576)</f>
        <v>12726</v>
      </c>
      <c r="D137" s="8">
        <f t="shared" si="64"/>
        <v>103662</v>
      </c>
      <c r="F137" s="43">
        <f t="shared" si="62"/>
        <v>43964</v>
      </c>
      <c r="G137" s="8">
        <f>SUMIF(Fluxo_Diário!$D$9:$D$1048576,Fluxo_Diário_DB!B137,Fluxo_Diário!$E$9:$E$1048576)</f>
        <v>-1047</v>
      </c>
      <c r="H137" s="8">
        <f t="shared" si="65"/>
        <v>90936</v>
      </c>
    </row>
    <row r="138" spans="2:8" x14ac:dyDescent="0.25">
      <c r="B138" s="10">
        <f t="shared" si="63"/>
        <v>43965</v>
      </c>
      <c r="C138" s="8">
        <f>SUMIF(Fluxo_Diário!$B$9:$B$1048576,Fluxo_Diário_DB!B138,Fluxo_Diário!$C$9:$C$1048576)</f>
        <v>0</v>
      </c>
      <c r="D138" s="8">
        <f t="shared" si="64"/>
        <v>103662</v>
      </c>
      <c r="F138" s="43">
        <f t="shared" si="62"/>
        <v>43965</v>
      </c>
      <c r="G138" s="8">
        <f>SUMIF(Fluxo_Diário!$D$9:$D$1048576,Fluxo_Diário_DB!B138,Fluxo_Diário!$E$9:$E$1048576)</f>
        <v>12726</v>
      </c>
      <c r="H138" s="8">
        <f t="shared" si="65"/>
        <v>103662</v>
      </c>
    </row>
    <row r="139" spans="2:8" x14ac:dyDescent="0.25">
      <c r="B139" s="10">
        <f t="shared" si="63"/>
        <v>43966</v>
      </c>
      <c r="C139" s="8">
        <f>SUMIF(Fluxo_Diário!$B$9:$B$1048576,Fluxo_Diário_DB!B139,Fluxo_Diário!$C$9:$C$1048576)</f>
        <v>13006</v>
      </c>
      <c r="D139" s="8">
        <f t="shared" si="64"/>
        <v>116668</v>
      </c>
      <c r="F139" s="43">
        <f t="shared" si="62"/>
        <v>43966</v>
      </c>
      <c r="G139" s="8">
        <f>SUMIF(Fluxo_Diário!$D$9:$D$1048576,Fluxo_Diário_DB!B139,Fluxo_Diário!$E$9:$E$1048576)</f>
        <v>0</v>
      </c>
      <c r="H139" s="8">
        <f t="shared" si="65"/>
        <v>103662</v>
      </c>
    </row>
    <row r="140" spans="2:8" x14ac:dyDescent="0.25">
      <c r="B140" s="10">
        <f t="shared" si="63"/>
        <v>43967</v>
      </c>
      <c r="C140" s="8">
        <f>SUMIF(Fluxo_Diário!$B$9:$B$1048576,Fluxo_Diário_DB!B140,Fluxo_Diário!$C$9:$C$1048576)</f>
        <v>0</v>
      </c>
      <c r="D140" s="8">
        <f t="shared" si="64"/>
        <v>116668</v>
      </c>
      <c r="F140" s="43">
        <f t="shared" si="62"/>
        <v>43967</v>
      </c>
      <c r="G140" s="8">
        <f>SUMIF(Fluxo_Diário!$D$9:$D$1048576,Fluxo_Diário_DB!B140,Fluxo_Diário!$E$9:$E$1048576)</f>
        <v>0</v>
      </c>
      <c r="H140" s="8">
        <f t="shared" si="65"/>
        <v>103662</v>
      </c>
    </row>
    <row r="141" spans="2:8" x14ac:dyDescent="0.25">
      <c r="B141" s="10">
        <f t="shared" si="63"/>
        <v>43968</v>
      </c>
      <c r="C141" s="8">
        <f>SUMIF(Fluxo_Diário!$B$9:$B$1048576,Fluxo_Diário_DB!B141,Fluxo_Diário!$C$9:$C$1048576)</f>
        <v>5579</v>
      </c>
      <c r="D141" s="8">
        <f t="shared" si="64"/>
        <v>122247</v>
      </c>
      <c r="F141" s="43">
        <f t="shared" si="62"/>
        <v>43968</v>
      </c>
      <c r="G141" s="8">
        <f>SUMIF(Fluxo_Diário!$D$9:$D$1048576,Fluxo_Diário_DB!B141,Fluxo_Diário!$E$9:$E$1048576)</f>
        <v>0</v>
      </c>
      <c r="H141" s="8">
        <f t="shared" si="65"/>
        <v>103662</v>
      </c>
    </row>
    <row r="142" spans="2:8" x14ac:dyDescent="0.25">
      <c r="B142" s="10">
        <f t="shared" si="63"/>
        <v>43969</v>
      </c>
      <c r="C142" s="8">
        <f>SUMIF(Fluxo_Diário!$B$9:$B$1048576,Fluxo_Diário_DB!B142,Fluxo_Diário!$C$9:$C$1048576)</f>
        <v>0</v>
      </c>
      <c r="D142" s="8">
        <f t="shared" si="64"/>
        <v>122247</v>
      </c>
      <c r="F142" s="43">
        <f t="shared" si="62"/>
        <v>43969</v>
      </c>
      <c r="G142" s="8">
        <f>SUMIF(Fluxo_Diário!$D$9:$D$1048576,Fluxo_Diário_DB!B142,Fluxo_Diário!$E$9:$E$1048576)</f>
        <v>13006</v>
      </c>
      <c r="H142" s="8">
        <f t="shared" si="65"/>
        <v>116668</v>
      </c>
    </row>
    <row r="143" spans="2:8" x14ac:dyDescent="0.25">
      <c r="B143" s="10">
        <f t="shared" si="63"/>
        <v>43970</v>
      </c>
      <c r="C143" s="8">
        <f>SUMIF(Fluxo_Diário!$B$9:$B$1048576,Fluxo_Diário_DB!B143,Fluxo_Diário!$C$9:$C$1048576)</f>
        <v>-896</v>
      </c>
      <c r="D143" s="8">
        <f t="shared" si="64"/>
        <v>121351</v>
      </c>
      <c r="F143" s="43">
        <f t="shared" si="62"/>
        <v>43970</v>
      </c>
      <c r="G143" s="8">
        <f>SUMIF(Fluxo_Diário!$D$9:$D$1048576,Fluxo_Diário_DB!B143,Fluxo_Diário!$E$9:$E$1048576)</f>
        <v>5579</v>
      </c>
      <c r="H143" s="8">
        <f t="shared" si="65"/>
        <v>122247</v>
      </c>
    </row>
    <row r="144" spans="2:8" x14ac:dyDescent="0.25">
      <c r="B144" s="10">
        <f t="shared" si="63"/>
        <v>43971</v>
      </c>
      <c r="C144" s="8">
        <f>SUMIF(Fluxo_Diário!$B$9:$B$1048576,Fluxo_Diário_DB!B144,Fluxo_Diário!$C$9:$C$1048576)</f>
        <v>0</v>
      </c>
      <c r="D144" s="8">
        <f t="shared" si="64"/>
        <v>121351</v>
      </c>
      <c r="F144" s="43">
        <f t="shared" si="62"/>
        <v>43971</v>
      </c>
      <c r="G144" s="8">
        <f>SUMIF(Fluxo_Diário!$D$9:$D$1048576,Fluxo_Diário_DB!B144,Fluxo_Diário!$E$9:$E$1048576)</f>
        <v>0</v>
      </c>
      <c r="H144" s="8">
        <f t="shared" si="65"/>
        <v>122247</v>
      </c>
    </row>
    <row r="145" spans="2:8" x14ac:dyDescent="0.25">
      <c r="B145" s="10">
        <f t="shared" si="63"/>
        <v>43972</v>
      </c>
      <c r="C145" s="8">
        <f>SUMIF(Fluxo_Diário!$B$9:$B$1048576,Fluxo_Diário_DB!B145,Fluxo_Diário!$C$9:$C$1048576)</f>
        <v>-1319</v>
      </c>
      <c r="D145" s="8">
        <f t="shared" si="64"/>
        <v>120032</v>
      </c>
      <c r="F145" s="43">
        <f t="shared" si="62"/>
        <v>43972</v>
      </c>
      <c r="G145" s="8">
        <f>SUMIF(Fluxo_Diário!$D$9:$D$1048576,Fluxo_Diário_DB!B145,Fluxo_Diário!$E$9:$E$1048576)</f>
        <v>-896</v>
      </c>
      <c r="H145" s="8">
        <f t="shared" si="65"/>
        <v>121351</v>
      </c>
    </row>
    <row r="146" spans="2:8" x14ac:dyDescent="0.25">
      <c r="B146" s="10">
        <f t="shared" si="63"/>
        <v>43973</v>
      </c>
      <c r="C146" s="8">
        <f>SUMIF(Fluxo_Diário!$B$9:$B$1048576,Fluxo_Diário_DB!B146,Fluxo_Diário!$C$9:$C$1048576)</f>
        <v>0</v>
      </c>
      <c r="D146" s="8">
        <f t="shared" si="64"/>
        <v>120032</v>
      </c>
      <c r="F146" s="43">
        <f t="shared" si="62"/>
        <v>43973</v>
      </c>
      <c r="G146" s="8">
        <f>SUMIF(Fluxo_Diário!$D$9:$D$1048576,Fluxo_Diário_DB!B146,Fluxo_Diário!$E$9:$E$1048576)</f>
        <v>-1319</v>
      </c>
      <c r="H146" s="8">
        <f t="shared" si="65"/>
        <v>120032</v>
      </c>
    </row>
    <row r="147" spans="2:8" x14ac:dyDescent="0.25">
      <c r="B147" s="10">
        <f t="shared" si="63"/>
        <v>43974</v>
      </c>
      <c r="C147" s="8">
        <f>SUMIF(Fluxo_Diário!$B$9:$B$1048576,Fluxo_Diário_DB!B147,Fluxo_Diário!$C$9:$C$1048576)</f>
        <v>6978</v>
      </c>
      <c r="D147" s="8">
        <f t="shared" si="64"/>
        <v>127010</v>
      </c>
      <c r="F147" s="43">
        <f t="shared" si="62"/>
        <v>43974</v>
      </c>
      <c r="G147" s="8">
        <f>SUMIF(Fluxo_Diário!$D$9:$D$1048576,Fluxo_Diário_DB!B147,Fluxo_Diário!$E$9:$E$1048576)</f>
        <v>0</v>
      </c>
      <c r="H147" s="8">
        <f t="shared" si="65"/>
        <v>120032</v>
      </c>
    </row>
    <row r="148" spans="2:8" x14ac:dyDescent="0.25">
      <c r="B148" s="10">
        <f t="shared" si="63"/>
        <v>43975</v>
      </c>
      <c r="C148" s="8">
        <f>SUMIF(Fluxo_Diário!$B$9:$B$1048576,Fluxo_Diário_DB!B148,Fluxo_Diário!$C$9:$C$1048576)</f>
        <v>0</v>
      </c>
      <c r="D148" s="8">
        <f t="shared" si="64"/>
        <v>127010</v>
      </c>
      <c r="F148" s="43">
        <f t="shared" si="62"/>
        <v>43975</v>
      </c>
      <c r="G148" s="8">
        <f>SUMIF(Fluxo_Diário!$D$9:$D$1048576,Fluxo_Diário_DB!B148,Fluxo_Diário!$E$9:$E$1048576)</f>
        <v>0</v>
      </c>
      <c r="H148" s="8">
        <f t="shared" si="65"/>
        <v>120032</v>
      </c>
    </row>
    <row r="149" spans="2:8" x14ac:dyDescent="0.25">
      <c r="B149" s="10">
        <f t="shared" si="63"/>
        <v>43976</v>
      </c>
      <c r="C149" s="8">
        <f>SUMIF(Fluxo_Diário!$B$9:$B$1048576,Fluxo_Diário_DB!B149,Fluxo_Diário!$C$9:$C$1048576)</f>
        <v>3579</v>
      </c>
      <c r="D149" s="8">
        <f t="shared" si="64"/>
        <v>130589</v>
      </c>
      <c r="F149" s="43">
        <f t="shared" si="62"/>
        <v>43976</v>
      </c>
      <c r="G149" s="8">
        <f>SUMIF(Fluxo_Diário!$D$9:$D$1048576,Fluxo_Diário_DB!B149,Fluxo_Diário!$E$9:$E$1048576)</f>
        <v>6978</v>
      </c>
      <c r="H149" s="8">
        <f t="shared" si="65"/>
        <v>127010</v>
      </c>
    </row>
    <row r="150" spans="2:8" x14ac:dyDescent="0.25">
      <c r="B150" s="10">
        <f t="shared" si="63"/>
        <v>43977</v>
      </c>
      <c r="C150" s="8">
        <f>SUMIF(Fluxo_Diário!$B$9:$B$1048576,Fluxo_Diário_DB!B150,Fluxo_Diário!$C$9:$C$1048576)</f>
        <v>0</v>
      </c>
      <c r="D150" s="8">
        <f t="shared" si="64"/>
        <v>130589</v>
      </c>
      <c r="F150" s="43">
        <f t="shared" si="62"/>
        <v>43977</v>
      </c>
      <c r="G150" s="8">
        <f>SUMIF(Fluxo_Diário!$D$9:$D$1048576,Fluxo_Diário_DB!B150,Fluxo_Diário!$E$9:$E$1048576)</f>
        <v>0</v>
      </c>
      <c r="H150" s="8">
        <f t="shared" si="65"/>
        <v>127010</v>
      </c>
    </row>
    <row r="151" spans="2:8" x14ac:dyDescent="0.25">
      <c r="B151" s="10">
        <f t="shared" si="63"/>
        <v>43978</v>
      </c>
      <c r="C151" s="8">
        <f>SUMIF(Fluxo_Diário!$B$9:$B$1048576,Fluxo_Diário_DB!B151,Fluxo_Diário!$C$9:$C$1048576)</f>
        <v>5263</v>
      </c>
      <c r="D151" s="8">
        <f t="shared" si="64"/>
        <v>135852</v>
      </c>
      <c r="F151" s="43">
        <f t="shared" si="62"/>
        <v>43978</v>
      </c>
      <c r="G151" s="8">
        <f>SUMIF(Fluxo_Diário!$D$9:$D$1048576,Fluxo_Diário_DB!B151,Fluxo_Diário!$E$9:$E$1048576)</f>
        <v>3579</v>
      </c>
      <c r="H151" s="8">
        <f t="shared" si="65"/>
        <v>130589</v>
      </c>
    </row>
    <row r="152" spans="2:8" x14ac:dyDescent="0.25">
      <c r="B152" s="10">
        <f t="shared" si="63"/>
        <v>43979</v>
      </c>
      <c r="C152" s="8">
        <f>SUMIF(Fluxo_Diário!$B$9:$B$1048576,Fluxo_Diário_DB!B152,Fluxo_Diário!$C$9:$C$1048576)</f>
        <v>0</v>
      </c>
      <c r="D152" s="8">
        <f t="shared" si="64"/>
        <v>135852</v>
      </c>
      <c r="F152" s="43">
        <f t="shared" si="62"/>
        <v>43979</v>
      </c>
      <c r="G152" s="8">
        <f>SUMIF(Fluxo_Diário!$D$9:$D$1048576,Fluxo_Diário_DB!B152,Fluxo_Diário!$E$9:$E$1048576)</f>
        <v>0</v>
      </c>
      <c r="H152" s="8">
        <f t="shared" si="65"/>
        <v>130589</v>
      </c>
    </row>
    <row r="153" spans="2:8" x14ac:dyDescent="0.25">
      <c r="B153" s="10">
        <f t="shared" si="63"/>
        <v>43980</v>
      </c>
      <c r="C153" s="8">
        <f>SUMIF(Fluxo_Diário!$B$9:$B$1048576,Fluxo_Diário_DB!B153,Fluxo_Diário!$C$9:$C$1048576)</f>
        <v>6435</v>
      </c>
      <c r="D153" s="8">
        <f t="shared" si="64"/>
        <v>142287</v>
      </c>
      <c r="F153" s="43">
        <f t="shared" si="62"/>
        <v>43980</v>
      </c>
      <c r="G153" s="8">
        <f>SUMIF(Fluxo_Diário!$D$9:$D$1048576,Fluxo_Diário_DB!B153,Fluxo_Diário!$E$9:$E$1048576)</f>
        <v>5263</v>
      </c>
      <c r="H153" s="8">
        <f t="shared" si="65"/>
        <v>135852</v>
      </c>
    </row>
    <row r="154" spans="2:8" x14ac:dyDescent="0.25">
      <c r="B154" s="10">
        <f t="shared" si="63"/>
        <v>43981</v>
      </c>
      <c r="C154" s="8">
        <f>SUMIF(Fluxo_Diário!$B$9:$B$1048576,Fluxo_Diário_DB!B154,Fluxo_Diário!$C$9:$C$1048576)</f>
        <v>0</v>
      </c>
      <c r="D154" s="8">
        <f t="shared" si="64"/>
        <v>142287</v>
      </c>
      <c r="F154" s="43">
        <f t="shared" si="62"/>
        <v>43981</v>
      </c>
      <c r="G154" s="8">
        <f>SUMIF(Fluxo_Diário!$D$9:$D$1048576,Fluxo_Diário_DB!B154,Fluxo_Diário!$E$9:$E$1048576)</f>
        <v>0</v>
      </c>
      <c r="H154" s="8">
        <f t="shared" si="65"/>
        <v>135852</v>
      </c>
    </row>
    <row r="155" spans="2:8" x14ac:dyDescent="0.25">
      <c r="B155" s="10">
        <f t="shared" si="63"/>
        <v>43982</v>
      </c>
      <c r="C155" s="8">
        <f>SUMIF(Fluxo_Diário!$B$9:$B$1048576,Fluxo_Diário_DB!B155,Fluxo_Diário!$C$9:$C$1048576)</f>
        <v>-1516</v>
      </c>
      <c r="D155" s="8">
        <f t="shared" si="64"/>
        <v>140771</v>
      </c>
      <c r="F155" s="43">
        <f t="shared" si="62"/>
        <v>43982</v>
      </c>
      <c r="G155" s="8">
        <f>SUMIF(Fluxo_Diário!$D$9:$D$1048576,Fluxo_Diário_DB!B155,Fluxo_Diário!$E$9:$E$1048576)</f>
        <v>6435</v>
      </c>
      <c r="H155" s="8">
        <f t="shared" si="65"/>
        <v>142287</v>
      </c>
    </row>
    <row r="156" spans="2:8" x14ac:dyDescent="0.25">
      <c r="B156" s="10">
        <f t="shared" si="63"/>
        <v>43983</v>
      </c>
      <c r="C156" s="8">
        <f>SUMIF(Fluxo_Diário!$B$9:$B$1048576,Fluxo_Diário_DB!B156,Fluxo_Diário!$C$9:$C$1048576)</f>
        <v>0</v>
      </c>
      <c r="D156" s="8">
        <f t="shared" si="64"/>
        <v>140771</v>
      </c>
      <c r="F156" s="43">
        <f t="shared" si="62"/>
        <v>43983</v>
      </c>
      <c r="G156" s="8">
        <f>SUMIF(Fluxo_Diário!$D$9:$D$1048576,Fluxo_Diário_DB!B156,Fluxo_Diário!$E$9:$E$1048576)</f>
        <v>-1516</v>
      </c>
      <c r="H156" s="8">
        <f t="shared" si="65"/>
        <v>140771</v>
      </c>
    </row>
    <row r="157" spans="2:8" x14ac:dyDescent="0.25">
      <c r="B157" s="10">
        <f t="shared" si="63"/>
        <v>43984</v>
      </c>
      <c r="C157" s="8">
        <f>SUMIF(Fluxo_Diário!$B$9:$B$1048576,Fluxo_Diário_DB!B157,Fluxo_Diário!$C$9:$C$1048576)</f>
        <v>-586</v>
      </c>
      <c r="D157" s="8">
        <f t="shared" si="64"/>
        <v>140185</v>
      </c>
      <c r="F157" s="43">
        <f t="shared" si="62"/>
        <v>43984</v>
      </c>
      <c r="G157" s="8">
        <f>SUMIF(Fluxo_Diário!$D$9:$D$1048576,Fluxo_Diário_DB!B157,Fluxo_Diário!$E$9:$E$1048576)</f>
        <v>0</v>
      </c>
      <c r="H157" s="8">
        <f t="shared" si="65"/>
        <v>140771</v>
      </c>
    </row>
    <row r="158" spans="2:8" x14ac:dyDescent="0.25">
      <c r="B158" s="10">
        <f t="shared" si="63"/>
        <v>43985</v>
      </c>
      <c r="C158" s="8">
        <f>SUMIF(Fluxo_Diário!$B$9:$B$1048576,Fluxo_Diário_DB!B158,Fluxo_Diário!$C$9:$C$1048576)</f>
        <v>0</v>
      </c>
      <c r="D158" s="8">
        <f t="shared" si="64"/>
        <v>140185</v>
      </c>
      <c r="F158" s="43">
        <f t="shared" si="62"/>
        <v>43985</v>
      </c>
      <c r="G158" s="8">
        <f>SUMIF(Fluxo_Diário!$D$9:$D$1048576,Fluxo_Diário_DB!B158,Fluxo_Diário!$E$9:$E$1048576)</f>
        <v>-586</v>
      </c>
      <c r="H158" s="8">
        <f t="shared" si="65"/>
        <v>140185</v>
      </c>
    </row>
    <row r="159" spans="2:8" x14ac:dyDescent="0.25">
      <c r="B159" s="10">
        <f t="shared" si="63"/>
        <v>43986</v>
      </c>
      <c r="C159" s="8">
        <f>SUMIF(Fluxo_Diário!$B$9:$B$1048576,Fluxo_Diário_DB!B159,Fluxo_Diário!$C$9:$C$1048576)</f>
        <v>11353</v>
      </c>
      <c r="D159" s="8">
        <f t="shared" si="64"/>
        <v>151538</v>
      </c>
      <c r="F159" s="43">
        <f t="shared" si="62"/>
        <v>43986</v>
      </c>
      <c r="G159" s="8">
        <f>SUMIF(Fluxo_Diário!$D$9:$D$1048576,Fluxo_Diário_DB!B159,Fluxo_Diário!$E$9:$E$1048576)</f>
        <v>0</v>
      </c>
      <c r="H159" s="8">
        <f t="shared" si="65"/>
        <v>140185</v>
      </c>
    </row>
    <row r="160" spans="2:8" x14ac:dyDescent="0.25">
      <c r="B160" s="10">
        <f t="shared" si="63"/>
        <v>43987</v>
      </c>
      <c r="C160" s="8">
        <f>SUMIF(Fluxo_Diário!$B$9:$B$1048576,Fluxo_Diário_DB!B160,Fluxo_Diário!$C$9:$C$1048576)</f>
        <v>0</v>
      </c>
      <c r="D160" s="8">
        <f t="shared" si="64"/>
        <v>151538</v>
      </c>
      <c r="F160" s="43">
        <f t="shared" si="62"/>
        <v>43987</v>
      </c>
      <c r="G160" s="8">
        <f>SUMIF(Fluxo_Diário!$D$9:$D$1048576,Fluxo_Diário_DB!B160,Fluxo_Diário!$E$9:$E$1048576)</f>
        <v>0</v>
      </c>
      <c r="H160" s="8">
        <f t="shared" si="65"/>
        <v>140185</v>
      </c>
    </row>
    <row r="161" spans="2:8" x14ac:dyDescent="0.25">
      <c r="B161" s="10">
        <f t="shared" si="63"/>
        <v>43988</v>
      </c>
      <c r="C161" s="8">
        <f>SUMIF(Fluxo_Diário!$B$9:$B$1048576,Fluxo_Diário_DB!B161,Fluxo_Diário!$C$9:$C$1048576)</f>
        <v>13562</v>
      </c>
      <c r="D161" s="8">
        <f t="shared" si="64"/>
        <v>165100</v>
      </c>
      <c r="F161" s="43">
        <f t="shared" si="62"/>
        <v>43988</v>
      </c>
      <c r="G161" s="8">
        <f>SUMIF(Fluxo_Diário!$D$9:$D$1048576,Fluxo_Diário_DB!B161,Fluxo_Diário!$E$9:$E$1048576)</f>
        <v>11353</v>
      </c>
      <c r="H161" s="8">
        <f t="shared" si="65"/>
        <v>151538</v>
      </c>
    </row>
    <row r="162" spans="2:8" x14ac:dyDescent="0.25">
      <c r="B162" s="10">
        <f t="shared" si="63"/>
        <v>43989</v>
      </c>
      <c r="C162" s="8">
        <f>SUMIF(Fluxo_Diário!$B$9:$B$1048576,Fluxo_Diário_DB!B162,Fluxo_Diário!$C$9:$C$1048576)</f>
        <v>0</v>
      </c>
      <c r="D162" s="8">
        <f t="shared" si="64"/>
        <v>165100</v>
      </c>
      <c r="F162" s="43">
        <f t="shared" si="62"/>
        <v>43989</v>
      </c>
      <c r="G162" s="8">
        <f>SUMIF(Fluxo_Diário!$D$9:$D$1048576,Fluxo_Diário_DB!B162,Fluxo_Diário!$E$9:$E$1048576)</f>
        <v>0</v>
      </c>
      <c r="H162" s="8">
        <f t="shared" si="65"/>
        <v>151538</v>
      </c>
    </row>
    <row r="163" spans="2:8" x14ac:dyDescent="0.25">
      <c r="B163" s="10">
        <f t="shared" si="63"/>
        <v>43990</v>
      </c>
      <c r="C163" s="8">
        <f>SUMIF(Fluxo_Diário!$B$9:$B$1048576,Fluxo_Diário_DB!B163,Fluxo_Diário!$C$9:$C$1048576)</f>
        <v>7775</v>
      </c>
      <c r="D163" s="8">
        <f t="shared" si="64"/>
        <v>172875</v>
      </c>
      <c r="F163" s="43">
        <f t="shared" si="62"/>
        <v>43990</v>
      </c>
      <c r="G163" s="8">
        <f>SUMIF(Fluxo_Diário!$D$9:$D$1048576,Fluxo_Diário_DB!B163,Fluxo_Diário!$E$9:$E$1048576)</f>
        <v>13562</v>
      </c>
      <c r="H163" s="8">
        <f t="shared" si="65"/>
        <v>165100</v>
      </c>
    </row>
    <row r="164" spans="2:8" x14ac:dyDescent="0.25">
      <c r="B164" s="10">
        <f t="shared" si="63"/>
        <v>43991</v>
      </c>
      <c r="C164" s="8">
        <f>SUMIF(Fluxo_Diário!$B$9:$B$1048576,Fluxo_Diário_DB!B164,Fluxo_Diário!$C$9:$C$1048576)</f>
        <v>0</v>
      </c>
      <c r="D164" s="8">
        <f t="shared" si="64"/>
        <v>172875</v>
      </c>
      <c r="F164" s="43">
        <f t="shared" si="62"/>
        <v>43991</v>
      </c>
      <c r="G164" s="8">
        <f>SUMIF(Fluxo_Diário!$D$9:$D$1048576,Fluxo_Diário_DB!B164,Fluxo_Diário!$E$9:$E$1048576)</f>
        <v>0</v>
      </c>
      <c r="H164" s="8">
        <f t="shared" si="65"/>
        <v>165100</v>
      </c>
    </row>
    <row r="165" spans="2:8" x14ac:dyDescent="0.25">
      <c r="B165" s="10">
        <f t="shared" si="63"/>
        <v>43992</v>
      </c>
      <c r="C165" s="8">
        <f>SUMIF(Fluxo_Diário!$B$9:$B$1048576,Fluxo_Diário_DB!B165,Fluxo_Diário!$C$9:$C$1048576)</f>
        <v>9763</v>
      </c>
      <c r="D165" s="8">
        <f t="shared" si="64"/>
        <v>182638</v>
      </c>
      <c r="F165" s="43">
        <f t="shared" si="62"/>
        <v>43992</v>
      </c>
      <c r="G165" s="8">
        <f>SUMIF(Fluxo_Diário!$D$9:$D$1048576,Fluxo_Diário_DB!B165,Fluxo_Diário!$E$9:$E$1048576)</f>
        <v>7775</v>
      </c>
      <c r="H165" s="8">
        <f t="shared" si="65"/>
        <v>172875</v>
      </c>
    </row>
    <row r="166" spans="2:8" x14ac:dyDescent="0.25">
      <c r="B166" s="10">
        <f t="shared" si="63"/>
        <v>43993</v>
      </c>
      <c r="C166" s="8">
        <f>SUMIF(Fluxo_Diário!$B$9:$B$1048576,Fluxo_Diário_DB!B166,Fluxo_Diário!$C$9:$C$1048576)</f>
        <v>0</v>
      </c>
      <c r="D166" s="8">
        <f t="shared" si="64"/>
        <v>182638</v>
      </c>
      <c r="F166" s="43">
        <f t="shared" si="62"/>
        <v>43993</v>
      </c>
      <c r="G166" s="8">
        <f>SUMIF(Fluxo_Diário!$D$9:$D$1048576,Fluxo_Diário_DB!B166,Fluxo_Diário!$E$9:$E$1048576)</f>
        <v>0</v>
      </c>
      <c r="H166" s="8">
        <f t="shared" si="65"/>
        <v>172875</v>
      </c>
    </row>
    <row r="167" spans="2:8" x14ac:dyDescent="0.25">
      <c r="B167" s="10">
        <f t="shared" si="63"/>
        <v>43994</v>
      </c>
      <c r="C167" s="8">
        <f>SUMIF(Fluxo_Diário!$B$9:$B$1048576,Fluxo_Diário_DB!B167,Fluxo_Diário!$C$9:$C$1048576)</f>
        <v>-2030</v>
      </c>
      <c r="D167" s="8">
        <f t="shared" si="64"/>
        <v>180608</v>
      </c>
      <c r="F167" s="43">
        <f t="shared" si="62"/>
        <v>43994</v>
      </c>
      <c r="G167" s="8">
        <f>SUMIF(Fluxo_Diário!$D$9:$D$1048576,Fluxo_Diário_DB!B167,Fluxo_Diário!$E$9:$E$1048576)</f>
        <v>0</v>
      </c>
      <c r="H167" s="8">
        <f t="shared" si="65"/>
        <v>172875</v>
      </c>
    </row>
    <row r="168" spans="2:8" x14ac:dyDescent="0.25">
      <c r="B168" s="10">
        <f t="shared" si="63"/>
        <v>43995</v>
      </c>
      <c r="C168" s="8">
        <f>SUMIF(Fluxo_Diário!$B$9:$B$1048576,Fluxo_Diário_DB!B168,Fluxo_Diário!$C$9:$C$1048576)</f>
        <v>0</v>
      </c>
      <c r="D168" s="8">
        <f t="shared" si="64"/>
        <v>180608</v>
      </c>
      <c r="F168" s="43">
        <f t="shared" si="62"/>
        <v>43995</v>
      </c>
      <c r="G168" s="8">
        <f>SUMIF(Fluxo_Diário!$D$9:$D$1048576,Fluxo_Diário_DB!B168,Fluxo_Diário!$E$9:$E$1048576)</f>
        <v>9763</v>
      </c>
      <c r="H168" s="8">
        <f t="shared" si="65"/>
        <v>182638</v>
      </c>
    </row>
    <row r="169" spans="2:8" x14ac:dyDescent="0.25">
      <c r="B169" s="10">
        <f t="shared" si="63"/>
        <v>43996</v>
      </c>
      <c r="C169" s="8">
        <f>SUMIF(Fluxo_Diário!$B$9:$B$1048576,Fluxo_Diário_DB!B169,Fluxo_Diário!$C$9:$C$1048576)</f>
        <v>-2396</v>
      </c>
      <c r="D169" s="8">
        <f t="shared" si="64"/>
        <v>178212</v>
      </c>
      <c r="F169" s="43">
        <f t="shared" si="62"/>
        <v>43996</v>
      </c>
      <c r="G169" s="8">
        <f>SUMIF(Fluxo_Diário!$D$9:$D$1048576,Fluxo_Diário_DB!B169,Fluxo_Diário!$E$9:$E$1048576)</f>
        <v>0</v>
      </c>
      <c r="H169" s="8">
        <f t="shared" si="65"/>
        <v>182638</v>
      </c>
    </row>
    <row r="170" spans="2:8" x14ac:dyDescent="0.25">
      <c r="B170" s="10">
        <f t="shared" si="63"/>
        <v>43997</v>
      </c>
      <c r="C170" s="8">
        <f>SUMIF(Fluxo_Diário!$B$9:$B$1048576,Fluxo_Diário_DB!B170,Fluxo_Diário!$C$9:$C$1048576)</f>
        <v>0</v>
      </c>
      <c r="D170" s="8">
        <f t="shared" si="64"/>
        <v>178212</v>
      </c>
      <c r="F170" s="43">
        <f t="shared" si="62"/>
        <v>43997</v>
      </c>
      <c r="G170" s="8">
        <f>SUMIF(Fluxo_Diário!$D$9:$D$1048576,Fluxo_Diário_DB!B170,Fluxo_Diário!$E$9:$E$1048576)</f>
        <v>-2030</v>
      </c>
      <c r="H170" s="8">
        <f t="shared" si="65"/>
        <v>180608</v>
      </c>
    </row>
    <row r="171" spans="2:8" x14ac:dyDescent="0.25">
      <c r="B171" s="10">
        <f t="shared" si="63"/>
        <v>43998</v>
      </c>
      <c r="C171" s="8">
        <f>SUMIF(Fluxo_Diário!$B$9:$B$1048576,Fluxo_Diário_DB!B171,Fluxo_Diário!$C$9:$C$1048576)</f>
        <v>3983</v>
      </c>
      <c r="D171" s="8">
        <f t="shared" si="64"/>
        <v>182195</v>
      </c>
      <c r="F171" s="43">
        <f t="shared" si="62"/>
        <v>43998</v>
      </c>
      <c r="G171" s="8">
        <f>SUMIF(Fluxo_Diário!$D$9:$D$1048576,Fluxo_Diário_DB!B171,Fluxo_Diário!$E$9:$E$1048576)</f>
        <v>-2396</v>
      </c>
      <c r="H171" s="8">
        <f t="shared" si="65"/>
        <v>178212</v>
      </c>
    </row>
    <row r="172" spans="2:8" x14ac:dyDescent="0.25">
      <c r="B172" s="10">
        <f t="shared" si="63"/>
        <v>43999</v>
      </c>
      <c r="C172" s="8">
        <f>SUMIF(Fluxo_Diário!$B$9:$B$1048576,Fluxo_Diário_DB!B172,Fluxo_Diário!$C$9:$C$1048576)</f>
        <v>0</v>
      </c>
      <c r="D172" s="8">
        <f t="shared" si="64"/>
        <v>182195</v>
      </c>
      <c r="F172" s="43">
        <f t="shared" si="62"/>
        <v>43999</v>
      </c>
      <c r="G172" s="8">
        <f>SUMIF(Fluxo_Diário!$D$9:$D$1048576,Fluxo_Diário_DB!B172,Fluxo_Diário!$E$9:$E$1048576)</f>
        <v>0</v>
      </c>
      <c r="H172" s="8">
        <f t="shared" si="65"/>
        <v>178212</v>
      </c>
    </row>
    <row r="173" spans="2:8" x14ac:dyDescent="0.25">
      <c r="B173" s="10">
        <f t="shared" si="63"/>
        <v>44000</v>
      </c>
      <c r="C173" s="8">
        <f>SUMIF(Fluxo_Diário!$B$9:$B$1048576,Fluxo_Diário_DB!B173,Fluxo_Diário!$C$9:$C$1048576)</f>
        <v>14509</v>
      </c>
      <c r="D173" s="8">
        <f t="shared" si="64"/>
        <v>196704</v>
      </c>
      <c r="F173" s="43">
        <f t="shared" si="62"/>
        <v>44000</v>
      </c>
      <c r="G173" s="8">
        <f>SUMIF(Fluxo_Diário!$D$9:$D$1048576,Fluxo_Diário_DB!B173,Fluxo_Diário!$E$9:$E$1048576)</f>
        <v>0</v>
      </c>
      <c r="H173" s="8">
        <f t="shared" si="65"/>
        <v>178212</v>
      </c>
    </row>
    <row r="174" spans="2:8" x14ac:dyDescent="0.25">
      <c r="B174" s="10">
        <f t="shared" si="63"/>
        <v>44001</v>
      </c>
      <c r="C174" s="8">
        <f>SUMIF(Fluxo_Diário!$B$9:$B$1048576,Fluxo_Diário_DB!B174,Fluxo_Diário!$C$9:$C$1048576)</f>
        <v>0</v>
      </c>
      <c r="D174" s="8">
        <f t="shared" si="64"/>
        <v>196704</v>
      </c>
      <c r="F174" s="43">
        <f t="shared" si="62"/>
        <v>44001</v>
      </c>
      <c r="G174" s="8">
        <f>SUMIF(Fluxo_Diário!$D$9:$D$1048576,Fluxo_Diário_DB!B174,Fluxo_Diário!$E$9:$E$1048576)</f>
        <v>3983</v>
      </c>
      <c r="H174" s="8">
        <f t="shared" si="65"/>
        <v>182195</v>
      </c>
    </row>
    <row r="175" spans="2:8" x14ac:dyDescent="0.25">
      <c r="B175" s="10">
        <f t="shared" si="63"/>
        <v>44002</v>
      </c>
      <c r="C175" s="8">
        <f>SUMIF(Fluxo_Diário!$B$9:$B$1048576,Fluxo_Diário_DB!B175,Fluxo_Diário!$C$9:$C$1048576)</f>
        <v>8187</v>
      </c>
      <c r="D175" s="8">
        <f t="shared" si="64"/>
        <v>204891</v>
      </c>
      <c r="F175" s="43">
        <f t="shared" si="62"/>
        <v>44002</v>
      </c>
      <c r="G175" s="8">
        <f>SUMIF(Fluxo_Diário!$D$9:$D$1048576,Fluxo_Diário_DB!B175,Fluxo_Diário!$E$9:$E$1048576)</f>
        <v>0</v>
      </c>
      <c r="H175" s="8">
        <f t="shared" si="65"/>
        <v>182195</v>
      </c>
    </row>
    <row r="176" spans="2:8" x14ac:dyDescent="0.25">
      <c r="B176" s="10">
        <f t="shared" si="63"/>
        <v>44003</v>
      </c>
      <c r="C176" s="8">
        <f>SUMIF(Fluxo_Diário!$B$9:$B$1048576,Fluxo_Diário_DB!B176,Fluxo_Diário!$C$9:$C$1048576)</f>
        <v>0</v>
      </c>
      <c r="D176" s="8">
        <f t="shared" si="64"/>
        <v>204891</v>
      </c>
      <c r="F176" s="43">
        <f t="shared" si="62"/>
        <v>44003</v>
      </c>
      <c r="G176" s="8">
        <f>SUMIF(Fluxo_Diário!$D$9:$D$1048576,Fluxo_Diário_DB!B176,Fluxo_Diário!$E$9:$E$1048576)</f>
        <v>14509</v>
      </c>
      <c r="H176" s="8">
        <f t="shared" si="65"/>
        <v>196704</v>
      </c>
    </row>
    <row r="177" spans="2:8" x14ac:dyDescent="0.25">
      <c r="B177" s="10">
        <f t="shared" si="63"/>
        <v>44004</v>
      </c>
      <c r="C177" s="8">
        <f>SUMIF(Fluxo_Diário!$B$9:$B$1048576,Fluxo_Diário_DB!B177,Fluxo_Diário!$C$9:$C$1048576)</f>
        <v>10312</v>
      </c>
      <c r="D177" s="8">
        <f t="shared" si="64"/>
        <v>215203</v>
      </c>
      <c r="F177" s="43">
        <f t="shared" si="62"/>
        <v>44004</v>
      </c>
      <c r="G177" s="8">
        <f>SUMIF(Fluxo_Diário!$D$9:$D$1048576,Fluxo_Diário_DB!B177,Fluxo_Diário!$E$9:$E$1048576)</f>
        <v>8187</v>
      </c>
      <c r="H177" s="8">
        <f t="shared" si="65"/>
        <v>204891</v>
      </c>
    </row>
    <row r="178" spans="2:8" x14ac:dyDescent="0.25">
      <c r="B178" s="10">
        <f t="shared" si="63"/>
        <v>44005</v>
      </c>
      <c r="C178" s="8">
        <f>SUMIF(Fluxo_Diário!$B$9:$B$1048576,Fluxo_Diário_DB!B178,Fluxo_Diário!$C$9:$C$1048576)</f>
        <v>0</v>
      </c>
      <c r="D178" s="8">
        <f t="shared" si="64"/>
        <v>215203</v>
      </c>
      <c r="F178" s="43">
        <f t="shared" si="62"/>
        <v>44005</v>
      </c>
      <c r="G178" s="8">
        <f>SUMIF(Fluxo_Diário!$D$9:$D$1048576,Fluxo_Diário_DB!B178,Fluxo_Diário!$E$9:$E$1048576)</f>
        <v>0</v>
      </c>
      <c r="H178" s="8">
        <f t="shared" si="65"/>
        <v>204891</v>
      </c>
    </row>
    <row r="179" spans="2:8" x14ac:dyDescent="0.25">
      <c r="B179" s="10">
        <f t="shared" si="63"/>
        <v>44006</v>
      </c>
      <c r="C179" s="8">
        <f>SUMIF(Fluxo_Diário!$B$9:$B$1048576,Fluxo_Diário_DB!B179,Fluxo_Diário!$C$9:$C$1048576)</f>
        <v>-1555</v>
      </c>
      <c r="D179" s="8">
        <f t="shared" si="64"/>
        <v>213648</v>
      </c>
      <c r="F179" s="43">
        <f t="shared" si="62"/>
        <v>44006</v>
      </c>
      <c r="G179" s="8">
        <f>SUMIF(Fluxo_Diário!$D$9:$D$1048576,Fluxo_Diário_DB!B179,Fluxo_Diário!$E$9:$E$1048576)</f>
        <v>0</v>
      </c>
      <c r="H179" s="8">
        <f t="shared" si="65"/>
        <v>204891</v>
      </c>
    </row>
    <row r="180" spans="2:8" x14ac:dyDescent="0.25">
      <c r="B180" s="10">
        <f t="shared" si="63"/>
        <v>44007</v>
      </c>
      <c r="C180" s="8">
        <f>SUMIF(Fluxo_Diário!$B$9:$B$1048576,Fluxo_Diário_DB!B180,Fluxo_Diário!$C$9:$C$1048576)</f>
        <v>0</v>
      </c>
      <c r="D180" s="8">
        <f t="shared" si="64"/>
        <v>213648</v>
      </c>
      <c r="F180" s="43">
        <f t="shared" si="62"/>
        <v>44007</v>
      </c>
      <c r="G180" s="8">
        <f>SUMIF(Fluxo_Diário!$D$9:$D$1048576,Fluxo_Diário_DB!B180,Fluxo_Diário!$E$9:$E$1048576)</f>
        <v>8757</v>
      </c>
      <c r="H180" s="8">
        <f t="shared" si="65"/>
        <v>213648</v>
      </c>
    </row>
    <row r="181" spans="2:8" x14ac:dyDescent="0.25">
      <c r="B181" s="10">
        <f t="shared" si="63"/>
        <v>44008</v>
      </c>
      <c r="C181" s="8">
        <f>SUMIF(Fluxo_Diário!$B$9:$B$1048576,Fluxo_Diário_DB!B181,Fluxo_Diário!$C$9:$C$1048576)</f>
        <v>-1458</v>
      </c>
      <c r="D181" s="8">
        <f t="shared" si="64"/>
        <v>212190</v>
      </c>
      <c r="F181" s="43">
        <f t="shared" si="62"/>
        <v>44008</v>
      </c>
      <c r="G181" s="8">
        <f>SUMIF(Fluxo_Diário!$D$9:$D$1048576,Fluxo_Diário_DB!B181,Fluxo_Diário!$E$9:$E$1048576)</f>
        <v>0</v>
      </c>
      <c r="H181" s="8">
        <f t="shared" si="65"/>
        <v>213648</v>
      </c>
    </row>
    <row r="182" spans="2:8" x14ac:dyDescent="0.25">
      <c r="B182" s="10">
        <f t="shared" si="63"/>
        <v>44009</v>
      </c>
      <c r="C182" s="8">
        <f>SUMIF(Fluxo_Diário!$B$9:$B$1048576,Fluxo_Diário_DB!B182,Fluxo_Diário!$C$9:$C$1048576)</f>
        <v>0</v>
      </c>
      <c r="D182" s="8">
        <f t="shared" si="64"/>
        <v>212190</v>
      </c>
      <c r="F182" s="43">
        <f t="shared" si="62"/>
        <v>44009</v>
      </c>
      <c r="G182" s="8">
        <f>SUMIF(Fluxo_Diário!$D$9:$D$1048576,Fluxo_Diário_DB!B182,Fluxo_Diário!$E$9:$E$1048576)</f>
        <v>0</v>
      </c>
      <c r="H182" s="8">
        <f t="shared" si="65"/>
        <v>213648</v>
      </c>
    </row>
    <row r="183" spans="2:8" x14ac:dyDescent="0.25">
      <c r="B183" s="10">
        <f t="shared" si="63"/>
        <v>44010</v>
      </c>
      <c r="C183" s="8">
        <f>SUMIF(Fluxo_Diário!$B$9:$B$1048576,Fluxo_Diário_DB!B183,Fluxo_Diário!$C$9:$C$1048576)</f>
        <v>11928</v>
      </c>
      <c r="D183" s="8">
        <f t="shared" si="64"/>
        <v>224118</v>
      </c>
      <c r="F183" s="43">
        <f t="shared" si="62"/>
        <v>44010</v>
      </c>
      <c r="G183" s="8">
        <f>SUMIF(Fluxo_Diário!$D$9:$D$1048576,Fluxo_Diário_DB!B183,Fluxo_Diário!$E$9:$E$1048576)</f>
        <v>-1458</v>
      </c>
      <c r="H183" s="8">
        <f t="shared" si="65"/>
        <v>212190</v>
      </c>
    </row>
    <row r="184" spans="2:8" x14ac:dyDescent="0.25">
      <c r="B184" s="10">
        <f t="shared" si="63"/>
        <v>44011</v>
      </c>
      <c r="C184" s="8">
        <f>SUMIF(Fluxo_Diário!$B$9:$B$1048576,Fluxo_Diário_DB!B184,Fluxo_Diário!$C$9:$C$1048576)</f>
        <v>0</v>
      </c>
      <c r="D184" s="8">
        <f t="shared" si="64"/>
        <v>224118</v>
      </c>
      <c r="F184" s="43">
        <f t="shared" si="62"/>
        <v>44011</v>
      </c>
      <c r="G184" s="8">
        <f>SUMIF(Fluxo_Diário!$D$9:$D$1048576,Fluxo_Diário_DB!B184,Fluxo_Diário!$E$9:$E$1048576)</f>
        <v>0</v>
      </c>
      <c r="H184" s="8">
        <f t="shared" si="65"/>
        <v>212190</v>
      </c>
    </row>
    <row r="185" spans="2:8" x14ac:dyDescent="0.25">
      <c r="B185" s="10">
        <f t="shared" si="63"/>
        <v>44012</v>
      </c>
      <c r="C185" s="8">
        <f>SUMIF(Fluxo_Diário!$B$9:$B$1048576,Fluxo_Diário_DB!B185,Fluxo_Diário!$C$9:$C$1048576)</f>
        <v>4009</v>
      </c>
      <c r="D185" s="8">
        <f t="shared" si="64"/>
        <v>228127</v>
      </c>
      <c r="F185" s="43">
        <f t="shared" si="62"/>
        <v>44012</v>
      </c>
      <c r="G185" s="8">
        <f>SUMIF(Fluxo_Diário!$D$9:$D$1048576,Fluxo_Diário_DB!B185,Fluxo_Diário!$E$9:$E$1048576)</f>
        <v>11928</v>
      </c>
      <c r="H185" s="8">
        <f t="shared" si="65"/>
        <v>224118</v>
      </c>
    </row>
    <row r="186" spans="2:8" x14ac:dyDescent="0.25">
      <c r="B186" s="10">
        <f t="shared" si="63"/>
        <v>44013</v>
      </c>
      <c r="C186" s="8">
        <f>SUMIF(Fluxo_Diário!$B$9:$B$1048576,Fluxo_Diário_DB!B186,Fluxo_Diário!$C$9:$C$1048576)</f>
        <v>0</v>
      </c>
      <c r="D186" s="8">
        <f t="shared" si="64"/>
        <v>228127</v>
      </c>
      <c r="F186" s="43">
        <f t="shared" si="62"/>
        <v>44013</v>
      </c>
      <c r="G186" s="8">
        <f>SUMIF(Fluxo_Diário!$D$9:$D$1048576,Fluxo_Diário_DB!B186,Fluxo_Diário!$E$9:$E$1048576)</f>
        <v>0</v>
      </c>
      <c r="H186" s="8">
        <f t="shared" si="65"/>
        <v>224118</v>
      </c>
    </row>
    <row r="187" spans="2:8" x14ac:dyDescent="0.25">
      <c r="B187" s="10">
        <f t="shared" si="63"/>
        <v>44014</v>
      </c>
      <c r="C187" s="8">
        <f>SUMIF(Fluxo_Diário!$B$9:$B$1048576,Fluxo_Diário_DB!B187,Fluxo_Diário!$C$9:$C$1048576)</f>
        <v>3060</v>
      </c>
      <c r="D187" s="8">
        <f t="shared" si="64"/>
        <v>231187</v>
      </c>
      <c r="F187" s="43">
        <f t="shared" si="62"/>
        <v>44014</v>
      </c>
      <c r="G187" s="8">
        <f>SUMIF(Fluxo_Diário!$D$9:$D$1048576,Fluxo_Diário_DB!B187,Fluxo_Diário!$E$9:$E$1048576)</f>
        <v>0</v>
      </c>
      <c r="H187" s="8">
        <f t="shared" si="65"/>
        <v>224118</v>
      </c>
    </row>
    <row r="188" spans="2:8" x14ac:dyDescent="0.25">
      <c r="B188" s="10">
        <f t="shared" si="63"/>
        <v>44015</v>
      </c>
      <c r="C188" s="8">
        <f>SUMIF(Fluxo_Diário!$B$9:$B$1048576,Fluxo_Diário_DB!B188,Fluxo_Diário!$C$9:$C$1048576)</f>
        <v>0</v>
      </c>
      <c r="D188" s="8">
        <f t="shared" si="64"/>
        <v>231187</v>
      </c>
      <c r="F188" s="43">
        <f t="shared" si="62"/>
        <v>44015</v>
      </c>
      <c r="G188" s="8">
        <f>SUMIF(Fluxo_Diário!$D$9:$D$1048576,Fluxo_Diário_DB!B188,Fluxo_Diário!$E$9:$E$1048576)</f>
        <v>4009</v>
      </c>
      <c r="H188" s="8">
        <f t="shared" si="65"/>
        <v>228127</v>
      </c>
    </row>
    <row r="189" spans="2:8" x14ac:dyDescent="0.25">
      <c r="B189" s="10">
        <f t="shared" si="63"/>
        <v>44016</v>
      </c>
      <c r="C189" s="8">
        <f>SUMIF(Fluxo_Diário!$B$9:$B$1048576,Fluxo_Diário_DB!B189,Fluxo_Diário!$C$9:$C$1048576)</f>
        <v>-1593</v>
      </c>
      <c r="D189" s="8">
        <f t="shared" si="64"/>
        <v>229594</v>
      </c>
      <c r="F189" s="43">
        <f t="shared" si="62"/>
        <v>44016</v>
      </c>
      <c r="G189" s="8">
        <f>SUMIF(Fluxo_Diário!$D$9:$D$1048576,Fluxo_Diário_DB!B189,Fluxo_Diário!$E$9:$E$1048576)</f>
        <v>3060</v>
      </c>
      <c r="H189" s="8">
        <f t="shared" si="65"/>
        <v>231187</v>
      </c>
    </row>
    <row r="190" spans="2:8" x14ac:dyDescent="0.25">
      <c r="B190" s="10">
        <f t="shared" si="63"/>
        <v>44017</v>
      </c>
      <c r="C190" s="8">
        <f>SUMIF(Fluxo_Diário!$B$9:$B$1048576,Fluxo_Diário_DB!B190,Fluxo_Diário!$C$9:$C$1048576)</f>
        <v>0</v>
      </c>
      <c r="D190" s="8">
        <f t="shared" si="64"/>
        <v>229594</v>
      </c>
      <c r="F190" s="43">
        <f t="shared" si="62"/>
        <v>44017</v>
      </c>
      <c r="G190" s="8">
        <f>SUMIF(Fluxo_Diário!$D$9:$D$1048576,Fluxo_Diário_DB!B190,Fluxo_Diário!$E$9:$E$1048576)</f>
        <v>0</v>
      </c>
      <c r="H190" s="8">
        <f t="shared" si="65"/>
        <v>231187</v>
      </c>
    </row>
    <row r="191" spans="2:8" x14ac:dyDescent="0.25">
      <c r="B191" s="10">
        <f t="shared" si="63"/>
        <v>44018</v>
      </c>
      <c r="C191" s="8">
        <f>SUMIF(Fluxo_Diário!$B$9:$B$1048576,Fluxo_Diário_DB!B191,Fluxo_Diário!$C$9:$C$1048576)</f>
        <v>-257</v>
      </c>
      <c r="D191" s="8">
        <f t="shared" si="64"/>
        <v>229337</v>
      </c>
      <c r="F191" s="43">
        <f t="shared" si="62"/>
        <v>44018</v>
      </c>
      <c r="G191" s="8">
        <f>SUMIF(Fluxo_Diário!$D$9:$D$1048576,Fluxo_Diário_DB!B191,Fluxo_Diário!$E$9:$E$1048576)</f>
        <v>0</v>
      </c>
      <c r="H191" s="8">
        <f t="shared" si="65"/>
        <v>231187</v>
      </c>
    </row>
    <row r="192" spans="2:8" x14ac:dyDescent="0.25">
      <c r="B192" s="10">
        <f t="shared" si="63"/>
        <v>44019</v>
      </c>
      <c r="C192" s="8">
        <f>SUMIF(Fluxo_Diário!$B$9:$B$1048576,Fluxo_Diário_DB!B192,Fluxo_Diário!$C$9:$C$1048576)</f>
        <v>0</v>
      </c>
      <c r="D192" s="8">
        <f t="shared" si="64"/>
        <v>229337</v>
      </c>
      <c r="F192" s="43">
        <f t="shared" si="62"/>
        <v>44019</v>
      </c>
      <c r="G192" s="8">
        <f>SUMIF(Fluxo_Diário!$D$9:$D$1048576,Fluxo_Diário_DB!B192,Fluxo_Diário!$E$9:$E$1048576)</f>
        <v>-1593</v>
      </c>
      <c r="H192" s="8">
        <f t="shared" si="65"/>
        <v>229594</v>
      </c>
    </row>
    <row r="193" spans="2:8" x14ac:dyDescent="0.25">
      <c r="B193" s="10">
        <f t="shared" si="63"/>
        <v>44020</v>
      </c>
      <c r="C193" s="8">
        <f>SUMIF(Fluxo_Diário!$B$9:$B$1048576,Fluxo_Diário_DB!B193,Fluxo_Diário!$C$9:$C$1048576)</f>
        <v>7701</v>
      </c>
      <c r="D193" s="8">
        <f t="shared" si="64"/>
        <v>237038</v>
      </c>
      <c r="F193" s="43">
        <f t="shared" si="62"/>
        <v>44020</v>
      </c>
      <c r="G193" s="8">
        <f>SUMIF(Fluxo_Diário!$D$9:$D$1048576,Fluxo_Diário_DB!B193,Fluxo_Diário!$E$9:$E$1048576)</f>
        <v>0</v>
      </c>
      <c r="H193" s="8">
        <f t="shared" si="65"/>
        <v>229594</v>
      </c>
    </row>
    <row r="194" spans="2:8" x14ac:dyDescent="0.25">
      <c r="B194" s="10">
        <f t="shared" si="63"/>
        <v>44021</v>
      </c>
      <c r="C194" s="8">
        <f>SUMIF(Fluxo_Diário!$B$9:$B$1048576,Fluxo_Diário_DB!B194,Fluxo_Diário!$C$9:$C$1048576)</f>
        <v>0</v>
      </c>
      <c r="D194" s="8">
        <f t="shared" si="64"/>
        <v>237038</v>
      </c>
      <c r="F194" s="43">
        <f t="shared" si="62"/>
        <v>44021</v>
      </c>
      <c r="G194" s="8">
        <f>SUMIF(Fluxo_Diário!$D$9:$D$1048576,Fluxo_Diário_DB!B194,Fluxo_Diário!$E$9:$E$1048576)</f>
        <v>-257</v>
      </c>
      <c r="H194" s="8">
        <f t="shared" si="65"/>
        <v>229337</v>
      </c>
    </row>
    <row r="195" spans="2:8" x14ac:dyDescent="0.25">
      <c r="B195" s="10">
        <f t="shared" si="63"/>
        <v>44022</v>
      </c>
      <c r="C195" s="8">
        <f>SUMIF(Fluxo_Diário!$B$9:$B$1048576,Fluxo_Diário_DB!B195,Fluxo_Diário!$C$9:$C$1048576)</f>
        <v>14029</v>
      </c>
      <c r="D195" s="8">
        <f t="shared" si="64"/>
        <v>251067</v>
      </c>
      <c r="F195" s="43">
        <f t="shared" si="62"/>
        <v>44022</v>
      </c>
      <c r="G195" s="8">
        <f>SUMIF(Fluxo_Diário!$D$9:$D$1048576,Fluxo_Diário_DB!B195,Fluxo_Diário!$E$9:$E$1048576)</f>
        <v>0</v>
      </c>
      <c r="H195" s="8">
        <f t="shared" si="65"/>
        <v>229337</v>
      </c>
    </row>
    <row r="196" spans="2:8" x14ac:dyDescent="0.25">
      <c r="B196" s="10">
        <f t="shared" si="63"/>
        <v>44023</v>
      </c>
      <c r="C196" s="8">
        <f>SUMIF(Fluxo_Diário!$B$9:$B$1048576,Fluxo_Diário_DB!B196,Fluxo_Diário!$C$9:$C$1048576)</f>
        <v>0</v>
      </c>
      <c r="D196" s="8">
        <f t="shared" si="64"/>
        <v>251067</v>
      </c>
      <c r="F196" s="43">
        <f t="shared" ref="F196:F259" si="66">B196</f>
        <v>44023</v>
      </c>
      <c r="G196" s="8">
        <f>SUMIF(Fluxo_Diário!$D$9:$D$1048576,Fluxo_Diário_DB!B196,Fluxo_Diário!$E$9:$E$1048576)</f>
        <v>21730</v>
      </c>
      <c r="H196" s="8">
        <f t="shared" si="65"/>
        <v>251067</v>
      </c>
    </row>
    <row r="197" spans="2:8" x14ac:dyDescent="0.25">
      <c r="B197" s="10">
        <f t="shared" ref="B197:B260" si="67">B196+1</f>
        <v>44024</v>
      </c>
      <c r="C197" s="8">
        <f>SUMIF(Fluxo_Diário!$B$9:$B$1048576,Fluxo_Diário_DB!B197,Fluxo_Diário!$C$9:$C$1048576)</f>
        <v>8541</v>
      </c>
      <c r="D197" s="8">
        <f t="shared" ref="D197:D260" si="68">C197+D196</f>
        <v>259608</v>
      </c>
      <c r="F197" s="43">
        <f t="shared" si="66"/>
        <v>44024</v>
      </c>
      <c r="G197" s="8">
        <f>SUMIF(Fluxo_Diário!$D$9:$D$1048576,Fluxo_Diário_DB!B197,Fluxo_Diário!$E$9:$E$1048576)</f>
        <v>0</v>
      </c>
      <c r="H197" s="8">
        <f t="shared" ref="H197:H260" si="69">G197+H196</f>
        <v>251067</v>
      </c>
    </row>
    <row r="198" spans="2:8" x14ac:dyDescent="0.25">
      <c r="B198" s="10">
        <f t="shared" si="67"/>
        <v>44025</v>
      </c>
      <c r="C198" s="8">
        <f>SUMIF(Fluxo_Diário!$B$9:$B$1048576,Fluxo_Diário_DB!B198,Fluxo_Diário!$C$9:$C$1048576)</f>
        <v>0</v>
      </c>
      <c r="D198" s="8">
        <f t="shared" si="68"/>
        <v>259608</v>
      </c>
      <c r="F198" s="43">
        <f t="shared" si="66"/>
        <v>44025</v>
      </c>
      <c r="G198" s="8">
        <f>SUMIF(Fluxo_Diário!$D$9:$D$1048576,Fluxo_Diário_DB!B198,Fluxo_Diário!$E$9:$E$1048576)</f>
        <v>0</v>
      </c>
      <c r="H198" s="8">
        <f t="shared" si="69"/>
        <v>251067</v>
      </c>
    </row>
    <row r="199" spans="2:8" x14ac:dyDescent="0.25">
      <c r="B199" s="10">
        <f t="shared" si="67"/>
        <v>44026</v>
      </c>
      <c r="C199" s="8">
        <f>SUMIF(Fluxo_Diário!$B$9:$B$1048576,Fluxo_Diário_DB!B199,Fluxo_Diário!$C$9:$C$1048576)</f>
        <v>2114</v>
      </c>
      <c r="D199" s="8">
        <f t="shared" si="68"/>
        <v>261722</v>
      </c>
      <c r="F199" s="43">
        <f t="shared" si="66"/>
        <v>44026</v>
      </c>
      <c r="G199" s="8">
        <f>SUMIF(Fluxo_Diário!$D$9:$D$1048576,Fluxo_Diário_DB!B199,Fluxo_Diário!$E$9:$E$1048576)</f>
        <v>0</v>
      </c>
      <c r="H199" s="8">
        <f t="shared" si="69"/>
        <v>251067</v>
      </c>
    </row>
    <row r="200" spans="2:8" x14ac:dyDescent="0.25">
      <c r="B200" s="10">
        <f t="shared" si="67"/>
        <v>44027</v>
      </c>
      <c r="C200" s="8">
        <f>SUMIF(Fluxo_Diário!$B$9:$B$1048576,Fluxo_Diário_DB!B200,Fluxo_Diário!$C$9:$C$1048576)</f>
        <v>0</v>
      </c>
      <c r="D200" s="8">
        <f t="shared" si="68"/>
        <v>261722</v>
      </c>
      <c r="F200" s="43">
        <f t="shared" si="66"/>
        <v>44027</v>
      </c>
      <c r="G200" s="8">
        <f>SUMIF(Fluxo_Diário!$D$9:$D$1048576,Fluxo_Diário_DB!B200,Fluxo_Diário!$E$9:$E$1048576)</f>
        <v>8541</v>
      </c>
      <c r="H200" s="8">
        <f t="shared" si="69"/>
        <v>259608</v>
      </c>
    </row>
    <row r="201" spans="2:8" x14ac:dyDescent="0.25">
      <c r="B201" s="10">
        <f t="shared" si="67"/>
        <v>44028</v>
      </c>
      <c r="C201" s="8">
        <f>SUMIF(Fluxo_Diário!$B$9:$B$1048576,Fluxo_Diário_DB!B201,Fluxo_Diário!$C$9:$C$1048576)</f>
        <v>-1978</v>
      </c>
      <c r="D201" s="8">
        <f t="shared" si="68"/>
        <v>259744</v>
      </c>
      <c r="F201" s="43">
        <f t="shared" si="66"/>
        <v>44028</v>
      </c>
      <c r="G201" s="8">
        <f>SUMIF(Fluxo_Diário!$D$9:$D$1048576,Fluxo_Diário_DB!B201,Fluxo_Diário!$E$9:$E$1048576)</f>
        <v>2114</v>
      </c>
      <c r="H201" s="8">
        <f t="shared" si="69"/>
        <v>261722</v>
      </c>
    </row>
    <row r="202" spans="2:8" x14ac:dyDescent="0.25">
      <c r="B202" s="10">
        <f t="shared" si="67"/>
        <v>44029</v>
      </c>
      <c r="C202" s="8">
        <f>SUMIF(Fluxo_Diário!$B$9:$B$1048576,Fluxo_Diário_DB!B202,Fluxo_Diário!$C$9:$C$1048576)</f>
        <v>0</v>
      </c>
      <c r="D202" s="8">
        <f t="shared" si="68"/>
        <v>259744</v>
      </c>
      <c r="F202" s="43">
        <f t="shared" si="66"/>
        <v>44029</v>
      </c>
      <c r="G202" s="8">
        <f>SUMIF(Fluxo_Diário!$D$9:$D$1048576,Fluxo_Diário_DB!B202,Fluxo_Diário!$E$9:$E$1048576)</f>
        <v>0</v>
      </c>
      <c r="H202" s="8">
        <f t="shared" si="69"/>
        <v>261722</v>
      </c>
    </row>
    <row r="203" spans="2:8" x14ac:dyDescent="0.25">
      <c r="B203" s="10">
        <f t="shared" si="67"/>
        <v>44030</v>
      </c>
      <c r="C203" s="8">
        <f>SUMIF(Fluxo_Diário!$B$9:$B$1048576,Fluxo_Diário_DB!B203,Fluxo_Diário!$C$9:$C$1048576)</f>
        <v>-627</v>
      </c>
      <c r="D203" s="8">
        <f t="shared" si="68"/>
        <v>259117</v>
      </c>
      <c r="F203" s="43">
        <f t="shared" si="66"/>
        <v>44030</v>
      </c>
      <c r="G203" s="8">
        <f>SUMIF(Fluxo_Diário!$D$9:$D$1048576,Fluxo_Diário_DB!B203,Fluxo_Diário!$E$9:$E$1048576)</f>
        <v>0</v>
      </c>
      <c r="H203" s="8">
        <f t="shared" si="69"/>
        <v>261722</v>
      </c>
    </row>
    <row r="204" spans="2:8" x14ac:dyDescent="0.25">
      <c r="B204" s="10">
        <f t="shared" si="67"/>
        <v>44031</v>
      </c>
      <c r="C204" s="8">
        <f>SUMIF(Fluxo_Diário!$B$9:$B$1048576,Fluxo_Diário_DB!B204,Fluxo_Diário!$C$9:$C$1048576)</f>
        <v>0</v>
      </c>
      <c r="D204" s="8">
        <f t="shared" si="68"/>
        <v>259117</v>
      </c>
      <c r="F204" s="43">
        <f t="shared" si="66"/>
        <v>44031</v>
      </c>
      <c r="G204" s="8">
        <f>SUMIF(Fluxo_Diário!$D$9:$D$1048576,Fluxo_Diário_DB!B204,Fluxo_Diário!$E$9:$E$1048576)</f>
        <v>-2605</v>
      </c>
      <c r="H204" s="8">
        <f t="shared" si="69"/>
        <v>259117</v>
      </c>
    </row>
    <row r="205" spans="2:8" x14ac:dyDescent="0.25">
      <c r="B205" s="10">
        <f t="shared" si="67"/>
        <v>44032</v>
      </c>
      <c r="C205" s="8">
        <f>SUMIF(Fluxo_Diário!$B$9:$B$1048576,Fluxo_Diário_DB!B205,Fluxo_Diário!$C$9:$C$1048576)</f>
        <v>14391</v>
      </c>
      <c r="D205" s="8">
        <f t="shared" si="68"/>
        <v>273508</v>
      </c>
      <c r="F205" s="43">
        <f t="shared" si="66"/>
        <v>44032</v>
      </c>
      <c r="G205" s="8">
        <f>SUMIF(Fluxo_Diário!$D$9:$D$1048576,Fluxo_Diário_DB!B205,Fluxo_Diário!$E$9:$E$1048576)</f>
        <v>0</v>
      </c>
      <c r="H205" s="8">
        <f t="shared" si="69"/>
        <v>259117</v>
      </c>
    </row>
    <row r="206" spans="2:8" x14ac:dyDescent="0.25">
      <c r="B206" s="10">
        <f t="shared" si="67"/>
        <v>44033</v>
      </c>
      <c r="C206" s="8">
        <f>SUMIF(Fluxo_Diário!$B$9:$B$1048576,Fluxo_Diário_DB!B206,Fluxo_Diário!$C$9:$C$1048576)</f>
        <v>0</v>
      </c>
      <c r="D206" s="8">
        <f t="shared" si="68"/>
        <v>273508</v>
      </c>
      <c r="F206" s="43">
        <f t="shared" si="66"/>
        <v>44033</v>
      </c>
      <c r="G206" s="8">
        <f>SUMIF(Fluxo_Diário!$D$9:$D$1048576,Fluxo_Diário_DB!B206,Fluxo_Diário!$E$9:$E$1048576)</f>
        <v>0</v>
      </c>
      <c r="H206" s="8">
        <f t="shared" si="69"/>
        <v>259117</v>
      </c>
    </row>
    <row r="207" spans="2:8" x14ac:dyDescent="0.25">
      <c r="B207" s="10">
        <f t="shared" si="67"/>
        <v>44034</v>
      </c>
      <c r="C207" s="8">
        <f>SUMIF(Fluxo_Diário!$B$9:$B$1048576,Fluxo_Diário_DB!B207,Fluxo_Diário!$C$9:$C$1048576)</f>
        <v>12176</v>
      </c>
      <c r="D207" s="8">
        <f t="shared" si="68"/>
        <v>285684</v>
      </c>
      <c r="F207" s="43">
        <f t="shared" si="66"/>
        <v>44034</v>
      </c>
      <c r="G207" s="8">
        <f>SUMIF(Fluxo_Diário!$D$9:$D$1048576,Fluxo_Diário_DB!B207,Fluxo_Diário!$E$9:$E$1048576)</f>
        <v>14391</v>
      </c>
      <c r="H207" s="8">
        <f t="shared" si="69"/>
        <v>273508</v>
      </c>
    </row>
    <row r="208" spans="2:8" x14ac:dyDescent="0.25">
      <c r="B208" s="10">
        <f t="shared" si="67"/>
        <v>44035</v>
      </c>
      <c r="C208" s="8">
        <f>SUMIF(Fluxo_Diário!$B$9:$B$1048576,Fluxo_Diário_DB!B208,Fluxo_Diário!$C$9:$C$1048576)</f>
        <v>0</v>
      </c>
      <c r="D208" s="8">
        <f t="shared" si="68"/>
        <v>285684</v>
      </c>
      <c r="F208" s="43">
        <f t="shared" si="66"/>
        <v>44035</v>
      </c>
      <c r="G208" s="8">
        <f>SUMIF(Fluxo_Diário!$D$9:$D$1048576,Fluxo_Diário_DB!B208,Fluxo_Diário!$E$9:$E$1048576)</f>
        <v>0</v>
      </c>
      <c r="H208" s="8">
        <f t="shared" si="69"/>
        <v>273508</v>
      </c>
    </row>
    <row r="209" spans="2:8" x14ac:dyDescent="0.25">
      <c r="B209" s="10">
        <f t="shared" si="67"/>
        <v>44036</v>
      </c>
      <c r="C209" s="8">
        <f>SUMIF(Fluxo_Diário!$B$9:$B$1048576,Fluxo_Diário_DB!B209,Fluxo_Diário!$C$9:$C$1048576)</f>
        <v>-314</v>
      </c>
      <c r="D209" s="8">
        <f t="shared" si="68"/>
        <v>285370</v>
      </c>
      <c r="F209" s="43">
        <f t="shared" si="66"/>
        <v>44036</v>
      </c>
      <c r="G209" s="8">
        <f>SUMIF(Fluxo_Diário!$D$9:$D$1048576,Fluxo_Diário_DB!B209,Fluxo_Diário!$E$9:$E$1048576)</f>
        <v>12176</v>
      </c>
      <c r="H209" s="8">
        <f t="shared" si="69"/>
        <v>285684</v>
      </c>
    </row>
    <row r="210" spans="2:8" x14ac:dyDescent="0.25">
      <c r="B210" s="10">
        <f t="shared" si="67"/>
        <v>44037</v>
      </c>
      <c r="C210" s="8">
        <f>SUMIF(Fluxo_Diário!$B$9:$B$1048576,Fluxo_Diário_DB!B210,Fluxo_Diário!$C$9:$C$1048576)</f>
        <v>0</v>
      </c>
      <c r="D210" s="8">
        <f t="shared" si="68"/>
        <v>285370</v>
      </c>
      <c r="F210" s="43">
        <f t="shared" si="66"/>
        <v>44037</v>
      </c>
      <c r="G210" s="8">
        <f>SUMIF(Fluxo_Diário!$D$9:$D$1048576,Fluxo_Diário_DB!B210,Fluxo_Diário!$E$9:$E$1048576)</f>
        <v>0</v>
      </c>
      <c r="H210" s="8">
        <f t="shared" si="69"/>
        <v>285684</v>
      </c>
    </row>
    <row r="211" spans="2:8" x14ac:dyDescent="0.25">
      <c r="B211" s="10">
        <f t="shared" si="67"/>
        <v>44038</v>
      </c>
      <c r="C211" s="8">
        <f>SUMIF(Fluxo_Diário!$B$9:$B$1048576,Fluxo_Diário_DB!B211,Fluxo_Diário!$C$9:$C$1048576)</f>
        <v>-1737</v>
      </c>
      <c r="D211" s="8">
        <f t="shared" si="68"/>
        <v>283633</v>
      </c>
      <c r="F211" s="43">
        <f t="shared" si="66"/>
        <v>44038</v>
      </c>
      <c r="G211" s="8">
        <f>SUMIF(Fluxo_Diário!$D$9:$D$1048576,Fluxo_Diário_DB!B211,Fluxo_Diário!$E$9:$E$1048576)</f>
        <v>-314</v>
      </c>
      <c r="H211" s="8">
        <f t="shared" si="69"/>
        <v>285370</v>
      </c>
    </row>
    <row r="212" spans="2:8" x14ac:dyDescent="0.25">
      <c r="B212" s="10">
        <f t="shared" si="67"/>
        <v>44039</v>
      </c>
      <c r="C212" s="8">
        <f>SUMIF(Fluxo_Diário!$B$9:$B$1048576,Fluxo_Diário_DB!B212,Fluxo_Diário!$C$9:$C$1048576)</f>
        <v>0</v>
      </c>
      <c r="D212" s="8">
        <f t="shared" si="68"/>
        <v>283633</v>
      </c>
      <c r="F212" s="43">
        <f t="shared" si="66"/>
        <v>44039</v>
      </c>
      <c r="G212" s="8">
        <f>SUMIF(Fluxo_Diário!$D$9:$D$1048576,Fluxo_Diário_DB!B212,Fluxo_Diário!$E$9:$E$1048576)</f>
        <v>-1737</v>
      </c>
      <c r="H212" s="8">
        <f t="shared" si="69"/>
        <v>283633</v>
      </c>
    </row>
    <row r="213" spans="2:8" x14ac:dyDescent="0.25">
      <c r="B213" s="10">
        <f t="shared" si="67"/>
        <v>44040</v>
      </c>
      <c r="C213" s="8">
        <f>SUMIF(Fluxo_Diário!$B$9:$B$1048576,Fluxo_Diário_DB!B213,Fluxo_Diário!$C$9:$C$1048576)</f>
        <v>11472</v>
      </c>
      <c r="D213" s="8">
        <f t="shared" si="68"/>
        <v>295105</v>
      </c>
      <c r="F213" s="43">
        <f t="shared" si="66"/>
        <v>44040</v>
      </c>
      <c r="G213" s="8">
        <f>SUMIF(Fluxo_Diário!$D$9:$D$1048576,Fluxo_Diário_DB!B213,Fluxo_Diário!$E$9:$E$1048576)</f>
        <v>0</v>
      </c>
      <c r="H213" s="8">
        <f t="shared" si="69"/>
        <v>283633</v>
      </c>
    </row>
    <row r="214" spans="2:8" x14ac:dyDescent="0.25">
      <c r="B214" s="10">
        <f t="shared" si="67"/>
        <v>44041</v>
      </c>
      <c r="C214" s="8">
        <f>SUMIF(Fluxo_Diário!$B$9:$B$1048576,Fluxo_Diário_DB!B214,Fluxo_Diário!$C$9:$C$1048576)</f>
        <v>0</v>
      </c>
      <c r="D214" s="8">
        <f t="shared" si="68"/>
        <v>295105</v>
      </c>
      <c r="F214" s="43">
        <f t="shared" si="66"/>
        <v>44041</v>
      </c>
      <c r="G214" s="8">
        <f>SUMIF(Fluxo_Diário!$D$9:$D$1048576,Fluxo_Diário_DB!B214,Fluxo_Diário!$E$9:$E$1048576)</f>
        <v>0</v>
      </c>
      <c r="H214" s="8">
        <f t="shared" si="69"/>
        <v>283633</v>
      </c>
    </row>
    <row r="215" spans="2:8" x14ac:dyDescent="0.25">
      <c r="B215" s="10">
        <f t="shared" si="67"/>
        <v>44042</v>
      </c>
      <c r="C215" s="8">
        <f>SUMIF(Fluxo_Diário!$B$9:$B$1048576,Fluxo_Diário_DB!B215,Fluxo_Diário!$C$9:$C$1048576)</f>
        <v>-1355</v>
      </c>
      <c r="D215" s="8">
        <f t="shared" si="68"/>
        <v>293750</v>
      </c>
      <c r="F215" s="43">
        <f t="shared" si="66"/>
        <v>44042</v>
      </c>
      <c r="G215" s="8">
        <f>SUMIF(Fluxo_Diário!$D$9:$D$1048576,Fluxo_Diário_DB!B215,Fluxo_Diário!$E$9:$E$1048576)</f>
        <v>11472</v>
      </c>
      <c r="H215" s="8">
        <f t="shared" si="69"/>
        <v>295105</v>
      </c>
    </row>
    <row r="216" spans="2:8" x14ac:dyDescent="0.25">
      <c r="B216" s="10">
        <f t="shared" si="67"/>
        <v>44043</v>
      </c>
      <c r="C216" s="8">
        <f>SUMIF(Fluxo_Diário!$B$9:$B$1048576,Fluxo_Diário_DB!B216,Fluxo_Diário!$C$9:$C$1048576)</f>
        <v>0</v>
      </c>
      <c r="D216" s="8">
        <f t="shared" si="68"/>
        <v>293750</v>
      </c>
      <c r="F216" s="43">
        <f t="shared" si="66"/>
        <v>44043</v>
      </c>
      <c r="G216" s="8">
        <f>SUMIF(Fluxo_Diário!$D$9:$D$1048576,Fluxo_Diário_DB!B216,Fluxo_Diário!$E$9:$E$1048576)</f>
        <v>0</v>
      </c>
      <c r="H216" s="8">
        <f t="shared" si="69"/>
        <v>295105</v>
      </c>
    </row>
    <row r="217" spans="2:8" x14ac:dyDescent="0.25">
      <c r="B217" s="10">
        <f t="shared" si="67"/>
        <v>44044</v>
      </c>
      <c r="C217" s="8">
        <f>SUMIF(Fluxo_Diário!$B$9:$B$1048576,Fluxo_Diário_DB!B217,Fluxo_Diário!$C$9:$C$1048576)</f>
        <v>0</v>
      </c>
      <c r="D217" s="8">
        <f t="shared" si="68"/>
        <v>293750</v>
      </c>
      <c r="F217" s="43">
        <f t="shared" si="66"/>
        <v>44044</v>
      </c>
      <c r="G217" s="8">
        <f>SUMIF(Fluxo_Diário!$D$9:$D$1048576,Fluxo_Diário_DB!B217,Fluxo_Diário!$E$9:$E$1048576)</f>
        <v>0</v>
      </c>
      <c r="H217" s="8">
        <f t="shared" si="69"/>
        <v>295105</v>
      </c>
    </row>
    <row r="218" spans="2:8" x14ac:dyDescent="0.25">
      <c r="B218" s="10">
        <f t="shared" si="67"/>
        <v>44045</v>
      </c>
      <c r="C218" s="8">
        <f>SUMIF(Fluxo_Diário!$B$9:$B$1048576,Fluxo_Diário_DB!B218,Fluxo_Diário!$C$9:$C$1048576)</f>
        <v>0</v>
      </c>
      <c r="D218" s="8">
        <f t="shared" si="68"/>
        <v>293750</v>
      </c>
      <c r="F218" s="43">
        <f t="shared" si="66"/>
        <v>44045</v>
      </c>
      <c r="G218" s="8">
        <f>SUMIF(Fluxo_Diário!$D$9:$D$1048576,Fluxo_Diário_DB!B218,Fluxo_Diário!$E$9:$E$1048576)</f>
        <v>-1355</v>
      </c>
      <c r="H218" s="8">
        <f t="shared" si="69"/>
        <v>293750</v>
      </c>
    </row>
    <row r="219" spans="2:8" x14ac:dyDescent="0.25">
      <c r="B219" s="10">
        <f t="shared" si="67"/>
        <v>44046</v>
      </c>
      <c r="C219" s="8">
        <f>SUMIF(Fluxo_Diário!$B$9:$B$1048576,Fluxo_Diário_DB!B219,Fluxo_Diário!$C$9:$C$1048576)</f>
        <v>0</v>
      </c>
      <c r="D219" s="8">
        <f t="shared" si="68"/>
        <v>293750</v>
      </c>
      <c r="F219" s="43">
        <f t="shared" si="66"/>
        <v>44046</v>
      </c>
      <c r="G219" s="8">
        <f>SUMIF(Fluxo_Diário!$D$9:$D$1048576,Fluxo_Diário_DB!B219,Fluxo_Diário!$E$9:$E$1048576)</f>
        <v>0</v>
      </c>
      <c r="H219" s="8">
        <f t="shared" si="69"/>
        <v>293750</v>
      </c>
    </row>
    <row r="220" spans="2:8" x14ac:dyDescent="0.25">
      <c r="B220" s="10">
        <f t="shared" si="67"/>
        <v>44047</v>
      </c>
      <c r="C220" s="8">
        <f>SUMIF(Fluxo_Diário!$B$9:$B$1048576,Fluxo_Diário_DB!B220,Fluxo_Diário!$C$9:$C$1048576)</f>
        <v>0</v>
      </c>
      <c r="D220" s="8">
        <f t="shared" si="68"/>
        <v>293750</v>
      </c>
      <c r="F220" s="43">
        <f t="shared" si="66"/>
        <v>44047</v>
      </c>
      <c r="G220" s="8">
        <f>SUMIF(Fluxo_Diário!$D$9:$D$1048576,Fluxo_Diário_DB!B220,Fluxo_Diário!$E$9:$E$1048576)</f>
        <v>0</v>
      </c>
      <c r="H220" s="8">
        <f t="shared" si="69"/>
        <v>293750</v>
      </c>
    </row>
    <row r="221" spans="2:8" x14ac:dyDescent="0.25">
      <c r="B221" s="10">
        <f t="shared" si="67"/>
        <v>44048</v>
      </c>
      <c r="C221" s="8">
        <f>SUMIF(Fluxo_Diário!$B$9:$B$1048576,Fluxo_Diário_DB!B221,Fluxo_Diário!$C$9:$C$1048576)</f>
        <v>0</v>
      </c>
      <c r="D221" s="8">
        <f t="shared" si="68"/>
        <v>293750</v>
      </c>
      <c r="F221" s="43">
        <f t="shared" si="66"/>
        <v>44048</v>
      </c>
      <c r="G221" s="8">
        <f>SUMIF(Fluxo_Diário!$D$9:$D$1048576,Fluxo_Diário_DB!B221,Fluxo_Diário!$E$9:$E$1048576)</f>
        <v>0</v>
      </c>
      <c r="H221" s="8">
        <f t="shared" si="69"/>
        <v>293750</v>
      </c>
    </row>
    <row r="222" spans="2:8" x14ac:dyDescent="0.25">
      <c r="B222" s="10">
        <f t="shared" si="67"/>
        <v>44049</v>
      </c>
      <c r="C222" s="8">
        <f>SUMIF(Fluxo_Diário!$B$9:$B$1048576,Fluxo_Diário_DB!B222,Fluxo_Diário!$C$9:$C$1048576)</f>
        <v>0</v>
      </c>
      <c r="D222" s="8">
        <f t="shared" si="68"/>
        <v>293750</v>
      </c>
      <c r="F222" s="43">
        <f t="shared" si="66"/>
        <v>44049</v>
      </c>
      <c r="G222" s="8">
        <f>SUMIF(Fluxo_Diário!$D$9:$D$1048576,Fluxo_Diário_DB!B222,Fluxo_Diário!$E$9:$E$1048576)</f>
        <v>0</v>
      </c>
      <c r="H222" s="8">
        <f t="shared" si="69"/>
        <v>293750</v>
      </c>
    </row>
    <row r="223" spans="2:8" x14ac:dyDescent="0.25">
      <c r="B223" s="10">
        <f t="shared" si="67"/>
        <v>44050</v>
      </c>
      <c r="C223" s="8">
        <f>SUMIF(Fluxo_Diário!$B$9:$B$1048576,Fluxo_Diário_DB!B223,Fluxo_Diário!$C$9:$C$1048576)</f>
        <v>0</v>
      </c>
      <c r="D223" s="8">
        <f t="shared" si="68"/>
        <v>293750</v>
      </c>
      <c r="F223" s="43">
        <f t="shared" si="66"/>
        <v>44050</v>
      </c>
      <c r="G223" s="8">
        <f>SUMIF(Fluxo_Diário!$D$9:$D$1048576,Fluxo_Diário_DB!B223,Fluxo_Diário!$E$9:$E$1048576)</f>
        <v>0</v>
      </c>
      <c r="H223" s="8">
        <f t="shared" si="69"/>
        <v>293750</v>
      </c>
    </row>
    <row r="224" spans="2:8" x14ac:dyDescent="0.25">
      <c r="B224" s="10">
        <f t="shared" si="67"/>
        <v>44051</v>
      </c>
      <c r="C224" s="8">
        <f>SUMIF(Fluxo_Diário!$B$9:$B$1048576,Fluxo_Diário_DB!B224,Fluxo_Diário!$C$9:$C$1048576)</f>
        <v>0</v>
      </c>
      <c r="D224" s="8">
        <f t="shared" si="68"/>
        <v>293750</v>
      </c>
      <c r="F224" s="43">
        <f t="shared" si="66"/>
        <v>44051</v>
      </c>
      <c r="G224" s="8">
        <f>SUMIF(Fluxo_Diário!$D$9:$D$1048576,Fluxo_Diário_DB!B224,Fluxo_Diário!$E$9:$E$1048576)</f>
        <v>0</v>
      </c>
      <c r="H224" s="8">
        <f t="shared" si="69"/>
        <v>293750</v>
      </c>
    </row>
    <row r="225" spans="2:8" x14ac:dyDescent="0.25">
      <c r="B225" s="10">
        <f t="shared" si="67"/>
        <v>44052</v>
      </c>
      <c r="C225" s="8">
        <f>SUMIF(Fluxo_Diário!$B$9:$B$1048576,Fluxo_Diário_DB!B225,Fluxo_Diário!$C$9:$C$1048576)</f>
        <v>0</v>
      </c>
      <c r="D225" s="8">
        <f t="shared" si="68"/>
        <v>293750</v>
      </c>
      <c r="F225" s="43">
        <f t="shared" si="66"/>
        <v>44052</v>
      </c>
      <c r="G225" s="8">
        <f>SUMIF(Fluxo_Diário!$D$9:$D$1048576,Fluxo_Diário_DB!B225,Fluxo_Diário!$E$9:$E$1048576)</f>
        <v>0</v>
      </c>
      <c r="H225" s="8">
        <f t="shared" si="69"/>
        <v>293750</v>
      </c>
    </row>
    <row r="226" spans="2:8" x14ac:dyDescent="0.25">
      <c r="B226" s="10">
        <f t="shared" si="67"/>
        <v>44053</v>
      </c>
      <c r="C226" s="8">
        <f>SUMIF(Fluxo_Diário!$B$9:$B$1048576,Fluxo_Diário_DB!B226,Fluxo_Diário!$C$9:$C$1048576)</f>
        <v>0</v>
      </c>
      <c r="D226" s="8">
        <f t="shared" si="68"/>
        <v>293750</v>
      </c>
      <c r="F226" s="43">
        <f t="shared" si="66"/>
        <v>44053</v>
      </c>
      <c r="G226" s="8">
        <f>SUMIF(Fluxo_Diário!$D$9:$D$1048576,Fluxo_Diário_DB!B226,Fluxo_Diário!$E$9:$E$1048576)</f>
        <v>0</v>
      </c>
      <c r="H226" s="8">
        <f t="shared" si="69"/>
        <v>293750</v>
      </c>
    </row>
    <row r="227" spans="2:8" x14ac:dyDescent="0.25">
      <c r="B227" s="10">
        <f t="shared" si="67"/>
        <v>44054</v>
      </c>
      <c r="C227" s="8">
        <f>SUMIF(Fluxo_Diário!$B$9:$B$1048576,Fluxo_Diário_DB!B227,Fluxo_Diário!$C$9:$C$1048576)</f>
        <v>0</v>
      </c>
      <c r="D227" s="8">
        <f t="shared" si="68"/>
        <v>293750</v>
      </c>
      <c r="F227" s="43">
        <f t="shared" si="66"/>
        <v>44054</v>
      </c>
      <c r="G227" s="8">
        <f>SUMIF(Fluxo_Diário!$D$9:$D$1048576,Fluxo_Diário_DB!B227,Fluxo_Diário!$E$9:$E$1048576)</f>
        <v>0</v>
      </c>
      <c r="H227" s="8">
        <f t="shared" si="69"/>
        <v>293750</v>
      </c>
    </row>
    <row r="228" spans="2:8" x14ac:dyDescent="0.25">
      <c r="B228" s="10">
        <f t="shared" si="67"/>
        <v>44055</v>
      </c>
      <c r="C228" s="8">
        <f>SUMIF(Fluxo_Diário!$B$9:$B$1048576,Fluxo_Diário_DB!B228,Fluxo_Diário!$C$9:$C$1048576)</f>
        <v>0</v>
      </c>
      <c r="D228" s="8">
        <f t="shared" si="68"/>
        <v>293750</v>
      </c>
      <c r="F228" s="43">
        <f t="shared" si="66"/>
        <v>44055</v>
      </c>
      <c r="G228" s="8">
        <f>SUMIF(Fluxo_Diário!$D$9:$D$1048576,Fluxo_Diário_DB!B228,Fluxo_Diário!$E$9:$E$1048576)</f>
        <v>0</v>
      </c>
      <c r="H228" s="8">
        <f t="shared" si="69"/>
        <v>293750</v>
      </c>
    </row>
    <row r="229" spans="2:8" x14ac:dyDescent="0.25">
      <c r="B229" s="10">
        <f t="shared" si="67"/>
        <v>44056</v>
      </c>
      <c r="C229" s="8">
        <f>SUMIF(Fluxo_Diário!$B$9:$B$1048576,Fluxo_Diário_DB!B229,Fluxo_Diário!$C$9:$C$1048576)</f>
        <v>0</v>
      </c>
      <c r="D229" s="8">
        <f t="shared" si="68"/>
        <v>293750</v>
      </c>
      <c r="F229" s="43">
        <f t="shared" si="66"/>
        <v>44056</v>
      </c>
      <c r="G229" s="8">
        <f>SUMIF(Fluxo_Diário!$D$9:$D$1048576,Fluxo_Diário_DB!B229,Fluxo_Diário!$E$9:$E$1048576)</f>
        <v>0</v>
      </c>
      <c r="H229" s="8">
        <f t="shared" si="69"/>
        <v>293750</v>
      </c>
    </row>
    <row r="230" spans="2:8" x14ac:dyDescent="0.25">
      <c r="B230" s="10">
        <f t="shared" si="67"/>
        <v>44057</v>
      </c>
      <c r="C230" s="8">
        <f>SUMIF(Fluxo_Diário!$B$9:$B$1048576,Fluxo_Diário_DB!B230,Fluxo_Diário!$C$9:$C$1048576)</f>
        <v>0</v>
      </c>
      <c r="D230" s="8">
        <f t="shared" si="68"/>
        <v>293750</v>
      </c>
      <c r="F230" s="43">
        <f t="shared" si="66"/>
        <v>44057</v>
      </c>
      <c r="G230" s="8">
        <f>SUMIF(Fluxo_Diário!$D$9:$D$1048576,Fluxo_Diário_DB!B230,Fluxo_Diário!$E$9:$E$1048576)</f>
        <v>0</v>
      </c>
      <c r="H230" s="8">
        <f t="shared" si="69"/>
        <v>293750</v>
      </c>
    </row>
    <row r="231" spans="2:8" x14ac:dyDescent="0.25">
      <c r="B231" s="10">
        <f t="shared" si="67"/>
        <v>44058</v>
      </c>
      <c r="C231" s="8">
        <f>SUMIF(Fluxo_Diário!$B$9:$B$1048576,Fluxo_Diário_DB!B231,Fluxo_Diário!$C$9:$C$1048576)</f>
        <v>0</v>
      </c>
      <c r="D231" s="8">
        <f t="shared" si="68"/>
        <v>293750</v>
      </c>
      <c r="F231" s="43">
        <f t="shared" si="66"/>
        <v>44058</v>
      </c>
      <c r="G231" s="8">
        <f>SUMIF(Fluxo_Diário!$D$9:$D$1048576,Fluxo_Diário_DB!B231,Fluxo_Diário!$E$9:$E$1048576)</f>
        <v>0</v>
      </c>
      <c r="H231" s="8">
        <f t="shared" si="69"/>
        <v>293750</v>
      </c>
    </row>
    <row r="232" spans="2:8" x14ac:dyDescent="0.25">
      <c r="B232" s="10">
        <f t="shared" si="67"/>
        <v>44059</v>
      </c>
      <c r="C232" s="8">
        <f>SUMIF(Fluxo_Diário!$B$9:$B$1048576,Fluxo_Diário_DB!B232,Fluxo_Diário!$C$9:$C$1048576)</f>
        <v>0</v>
      </c>
      <c r="D232" s="8">
        <f t="shared" si="68"/>
        <v>293750</v>
      </c>
      <c r="F232" s="43">
        <f t="shared" si="66"/>
        <v>44059</v>
      </c>
      <c r="G232" s="8">
        <f>SUMIF(Fluxo_Diário!$D$9:$D$1048576,Fluxo_Diário_DB!B232,Fluxo_Diário!$E$9:$E$1048576)</f>
        <v>0</v>
      </c>
      <c r="H232" s="8">
        <f t="shared" si="69"/>
        <v>293750</v>
      </c>
    </row>
    <row r="233" spans="2:8" x14ac:dyDescent="0.25">
      <c r="B233" s="10">
        <f t="shared" si="67"/>
        <v>44060</v>
      </c>
      <c r="C233" s="8">
        <f>SUMIF(Fluxo_Diário!$B$9:$B$1048576,Fluxo_Diário_DB!B233,Fluxo_Diário!$C$9:$C$1048576)</f>
        <v>0</v>
      </c>
      <c r="D233" s="8">
        <f t="shared" si="68"/>
        <v>293750</v>
      </c>
      <c r="F233" s="43">
        <f t="shared" si="66"/>
        <v>44060</v>
      </c>
      <c r="G233" s="8">
        <f>SUMIF(Fluxo_Diário!$D$9:$D$1048576,Fluxo_Diário_DB!B233,Fluxo_Diário!$E$9:$E$1048576)</f>
        <v>0</v>
      </c>
      <c r="H233" s="8">
        <f t="shared" si="69"/>
        <v>293750</v>
      </c>
    </row>
    <row r="234" spans="2:8" x14ac:dyDescent="0.25">
      <c r="B234" s="10">
        <f t="shared" si="67"/>
        <v>44061</v>
      </c>
      <c r="C234" s="8">
        <f>SUMIF(Fluxo_Diário!$B$9:$B$1048576,Fluxo_Diário_DB!B234,Fluxo_Diário!$C$9:$C$1048576)</f>
        <v>0</v>
      </c>
      <c r="D234" s="8">
        <f t="shared" si="68"/>
        <v>293750</v>
      </c>
      <c r="F234" s="43">
        <f t="shared" si="66"/>
        <v>44061</v>
      </c>
      <c r="G234" s="8">
        <f>SUMIF(Fluxo_Diário!$D$9:$D$1048576,Fluxo_Diário_DB!B234,Fluxo_Diário!$E$9:$E$1048576)</f>
        <v>0</v>
      </c>
      <c r="H234" s="8">
        <f t="shared" si="69"/>
        <v>293750</v>
      </c>
    </row>
    <row r="235" spans="2:8" x14ac:dyDescent="0.25">
      <c r="B235" s="10">
        <f t="shared" si="67"/>
        <v>44062</v>
      </c>
      <c r="C235" s="8">
        <f>SUMIF(Fluxo_Diário!$B$9:$B$1048576,Fluxo_Diário_DB!B235,Fluxo_Diário!$C$9:$C$1048576)</f>
        <v>0</v>
      </c>
      <c r="D235" s="8">
        <f t="shared" si="68"/>
        <v>293750</v>
      </c>
      <c r="F235" s="43">
        <f t="shared" si="66"/>
        <v>44062</v>
      </c>
      <c r="G235" s="8">
        <f>SUMIF(Fluxo_Diário!$D$9:$D$1048576,Fluxo_Diário_DB!B235,Fluxo_Diário!$E$9:$E$1048576)</f>
        <v>0</v>
      </c>
      <c r="H235" s="8">
        <f t="shared" si="69"/>
        <v>293750</v>
      </c>
    </row>
    <row r="236" spans="2:8" x14ac:dyDescent="0.25">
      <c r="B236" s="10">
        <f t="shared" si="67"/>
        <v>44063</v>
      </c>
      <c r="C236" s="8">
        <f>SUMIF(Fluxo_Diário!$B$9:$B$1048576,Fluxo_Diário_DB!B236,Fluxo_Diário!$C$9:$C$1048576)</f>
        <v>0</v>
      </c>
      <c r="D236" s="8">
        <f t="shared" si="68"/>
        <v>293750</v>
      </c>
      <c r="F236" s="43">
        <f t="shared" si="66"/>
        <v>44063</v>
      </c>
      <c r="G236" s="8">
        <f>SUMIF(Fluxo_Diário!$D$9:$D$1048576,Fluxo_Diário_DB!B236,Fluxo_Diário!$E$9:$E$1048576)</f>
        <v>0</v>
      </c>
      <c r="H236" s="8">
        <f t="shared" si="69"/>
        <v>293750</v>
      </c>
    </row>
    <row r="237" spans="2:8" x14ac:dyDescent="0.25">
      <c r="B237" s="10">
        <f t="shared" si="67"/>
        <v>44064</v>
      </c>
      <c r="C237" s="8">
        <f>SUMIF(Fluxo_Diário!$B$9:$B$1048576,Fluxo_Diário_DB!B237,Fluxo_Diário!$C$9:$C$1048576)</f>
        <v>0</v>
      </c>
      <c r="D237" s="8">
        <f t="shared" si="68"/>
        <v>293750</v>
      </c>
      <c r="F237" s="43">
        <f t="shared" si="66"/>
        <v>44064</v>
      </c>
      <c r="G237" s="8">
        <f>SUMIF(Fluxo_Diário!$D$9:$D$1048576,Fluxo_Diário_DB!B237,Fluxo_Diário!$E$9:$E$1048576)</f>
        <v>0</v>
      </c>
      <c r="H237" s="8">
        <f t="shared" si="69"/>
        <v>293750</v>
      </c>
    </row>
    <row r="238" spans="2:8" x14ac:dyDescent="0.25">
      <c r="B238" s="10">
        <f t="shared" si="67"/>
        <v>44065</v>
      </c>
      <c r="C238" s="8">
        <f>SUMIF(Fluxo_Diário!$B$9:$B$1048576,Fluxo_Diário_DB!B238,Fluxo_Diário!$C$9:$C$1048576)</f>
        <v>0</v>
      </c>
      <c r="D238" s="8">
        <f t="shared" si="68"/>
        <v>293750</v>
      </c>
      <c r="F238" s="43">
        <f t="shared" si="66"/>
        <v>44065</v>
      </c>
      <c r="G238" s="8">
        <f>SUMIF(Fluxo_Diário!$D$9:$D$1048576,Fluxo_Diário_DB!B238,Fluxo_Diário!$E$9:$E$1048576)</f>
        <v>0</v>
      </c>
      <c r="H238" s="8">
        <f t="shared" si="69"/>
        <v>293750</v>
      </c>
    </row>
    <row r="239" spans="2:8" x14ac:dyDescent="0.25">
      <c r="B239" s="10">
        <f t="shared" si="67"/>
        <v>44066</v>
      </c>
      <c r="C239" s="8">
        <f>SUMIF(Fluxo_Diário!$B$9:$B$1048576,Fluxo_Diário_DB!B239,Fluxo_Diário!$C$9:$C$1048576)</f>
        <v>0</v>
      </c>
      <c r="D239" s="8">
        <f t="shared" si="68"/>
        <v>293750</v>
      </c>
      <c r="F239" s="43">
        <f t="shared" si="66"/>
        <v>44066</v>
      </c>
      <c r="G239" s="8">
        <f>SUMIF(Fluxo_Diário!$D$9:$D$1048576,Fluxo_Diário_DB!B239,Fluxo_Diário!$E$9:$E$1048576)</f>
        <v>0</v>
      </c>
      <c r="H239" s="8">
        <f t="shared" si="69"/>
        <v>293750</v>
      </c>
    </row>
    <row r="240" spans="2:8" x14ac:dyDescent="0.25">
      <c r="B240" s="10">
        <f t="shared" si="67"/>
        <v>44067</v>
      </c>
      <c r="C240" s="8">
        <f>SUMIF(Fluxo_Diário!$B$9:$B$1048576,Fluxo_Diário_DB!B240,Fluxo_Diário!$C$9:$C$1048576)</f>
        <v>0</v>
      </c>
      <c r="D240" s="8">
        <f t="shared" si="68"/>
        <v>293750</v>
      </c>
      <c r="F240" s="43">
        <f t="shared" si="66"/>
        <v>44067</v>
      </c>
      <c r="G240" s="8">
        <f>SUMIF(Fluxo_Diário!$D$9:$D$1048576,Fluxo_Diário_DB!B240,Fluxo_Diário!$E$9:$E$1048576)</f>
        <v>0</v>
      </c>
      <c r="H240" s="8">
        <f t="shared" si="69"/>
        <v>293750</v>
      </c>
    </row>
    <row r="241" spans="2:8" x14ac:dyDescent="0.25">
      <c r="B241" s="10">
        <f t="shared" si="67"/>
        <v>44068</v>
      </c>
      <c r="C241" s="8">
        <f>SUMIF(Fluxo_Diário!$B$9:$B$1048576,Fluxo_Diário_DB!B241,Fluxo_Diário!$C$9:$C$1048576)</f>
        <v>0</v>
      </c>
      <c r="D241" s="8">
        <f t="shared" si="68"/>
        <v>293750</v>
      </c>
      <c r="F241" s="43">
        <f t="shared" si="66"/>
        <v>44068</v>
      </c>
      <c r="G241" s="8">
        <f>SUMIF(Fluxo_Diário!$D$9:$D$1048576,Fluxo_Diário_DB!B241,Fluxo_Diário!$E$9:$E$1048576)</f>
        <v>0</v>
      </c>
      <c r="H241" s="8">
        <f t="shared" si="69"/>
        <v>293750</v>
      </c>
    </row>
    <row r="242" spans="2:8" x14ac:dyDescent="0.25">
      <c r="B242" s="10">
        <f t="shared" si="67"/>
        <v>44069</v>
      </c>
      <c r="C242" s="8">
        <f>SUMIF(Fluxo_Diário!$B$9:$B$1048576,Fluxo_Diário_DB!B242,Fluxo_Diário!$C$9:$C$1048576)</f>
        <v>0</v>
      </c>
      <c r="D242" s="8">
        <f t="shared" si="68"/>
        <v>293750</v>
      </c>
      <c r="F242" s="43">
        <f t="shared" si="66"/>
        <v>44069</v>
      </c>
      <c r="G242" s="8">
        <f>SUMIF(Fluxo_Diário!$D$9:$D$1048576,Fluxo_Diário_DB!B242,Fluxo_Diário!$E$9:$E$1048576)</f>
        <v>0</v>
      </c>
      <c r="H242" s="8">
        <f t="shared" si="69"/>
        <v>293750</v>
      </c>
    </row>
    <row r="243" spans="2:8" x14ac:dyDescent="0.25">
      <c r="B243" s="10">
        <f t="shared" si="67"/>
        <v>44070</v>
      </c>
      <c r="C243" s="8">
        <f>SUMIF(Fluxo_Diário!$B$9:$B$1048576,Fluxo_Diário_DB!B243,Fluxo_Diário!$C$9:$C$1048576)</f>
        <v>0</v>
      </c>
      <c r="D243" s="8">
        <f t="shared" si="68"/>
        <v>293750</v>
      </c>
      <c r="F243" s="43">
        <f t="shared" si="66"/>
        <v>44070</v>
      </c>
      <c r="G243" s="8">
        <f>SUMIF(Fluxo_Diário!$D$9:$D$1048576,Fluxo_Diário_DB!B243,Fluxo_Diário!$E$9:$E$1048576)</f>
        <v>0</v>
      </c>
      <c r="H243" s="8">
        <f t="shared" si="69"/>
        <v>293750</v>
      </c>
    </row>
    <row r="244" spans="2:8" x14ac:dyDescent="0.25">
      <c r="B244" s="10">
        <f t="shared" si="67"/>
        <v>44071</v>
      </c>
      <c r="C244" s="8">
        <f>SUMIF(Fluxo_Diário!$B$9:$B$1048576,Fluxo_Diário_DB!B244,Fluxo_Diário!$C$9:$C$1048576)</f>
        <v>0</v>
      </c>
      <c r="D244" s="8">
        <f t="shared" si="68"/>
        <v>293750</v>
      </c>
      <c r="F244" s="43">
        <f t="shared" si="66"/>
        <v>44071</v>
      </c>
      <c r="G244" s="8">
        <f>SUMIF(Fluxo_Diário!$D$9:$D$1048576,Fluxo_Diário_DB!B244,Fluxo_Diário!$E$9:$E$1048576)</f>
        <v>0</v>
      </c>
      <c r="H244" s="8">
        <f t="shared" si="69"/>
        <v>293750</v>
      </c>
    </row>
    <row r="245" spans="2:8" x14ac:dyDescent="0.25">
      <c r="B245" s="10">
        <f t="shared" si="67"/>
        <v>44072</v>
      </c>
      <c r="C245" s="8">
        <f>SUMIF(Fluxo_Diário!$B$9:$B$1048576,Fluxo_Diário_DB!B245,Fluxo_Diário!$C$9:$C$1048576)</f>
        <v>0</v>
      </c>
      <c r="D245" s="8">
        <f t="shared" si="68"/>
        <v>293750</v>
      </c>
      <c r="F245" s="43">
        <f t="shared" si="66"/>
        <v>44072</v>
      </c>
      <c r="G245" s="8">
        <f>SUMIF(Fluxo_Diário!$D$9:$D$1048576,Fluxo_Diário_DB!B245,Fluxo_Diário!$E$9:$E$1048576)</f>
        <v>0</v>
      </c>
      <c r="H245" s="8">
        <f t="shared" si="69"/>
        <v>293750</v>
      </c>
    </row>
    <row r="246" spans="2:8" x14ac:dyDescent="0.25">
      <c r="B246" s="10">
        <f t="shared" si="67"/>
        <v>44073</v>
      </c>
      <c r="C246" s="8">
        <f>SUMIF(Fluxo_Diário!$B$9:$B$1048576,Fluxo_Diário_DB!B246,Fluxo_Diário!$C$9:$C$1048576)</f>
        <v>0</v>
      </c>
      <c r="D246" s="8">
        <f t="shared" si="68"/>
        <v>293750</v>
      </c>
      <c r="F246" s="43">
        <f t="shared" si="66"/>
        <v>44073</v>
      </c>
      <c r="G246" s="8">
        <f>SUMIF(Fluxo_Diário!$D$9:$D$1048576,Fluxo_Diário_DB!B246,Fluxo_Diário!$E$9:$E$1048576)</f>
        <v>0</v>
      </c>
      <c r="H246" s="8">
        <f t="shared" si="69"/>
        <v>293750</v>
      </c>
    </row>
    <row r="247" spans="2:8" x14ac:dyDescent="0.25">
      <c r="B247" s="10">
        <f t="shared" si="67"/>
        <v>44074</v>
      </c>
      <c r="C247" s="8">
        <f>SUMIF(Fluxo_Diário!$B$9:$B$1048576,Fluxo_Diário_DB!B247,Fluxo_Diário!$C$9:$C$1048576)</f>
        <v>0</v>
      </c>
      <c r="D247" s="8">
        <f t="shared" si="68"/>
        <v>293750</v>
      </c>
      <c r="F247" s="43">
        <f t="shared" si="66"/>
        <v>44074</v>
      </c>
      <c r="G247" s="8">
        <f>SUMIF(Fluxo_Diário!$D$9:$D$1048576,Fluxo_Diário_DB!B247,Fluxo_Diário!$E$9:$E$1048576)</f>
        <v>0</v>
      </c>
      <c r="H247" s="8">
        <f t="shared" si="69"/>
        <v>293750</v>
      </c>
    </row>
    <row r="248" spans="2:8" x14ac:dyDescent="0.25">
      <c r="B248" s="10">
        <f t="shared" si="67"/>
        <v>44075</v>
      </c>
      <c r="C248" s="8">
        <f>SUMIF(Fluxo_Diário!$B$9:$B$1048576,Fluxo_Diário_DB!B248,Fluxo_Diário!$C$9:$C$1048576)</f>
        <v>0</v>
      </c>
      <c r="D248" s="8">
        <f t="shared" si="68"/>
        <v>293750</v>
      </c>
      <c r="F248" s="43">
        <f t="shared" si="66"/>
        <v>44075</v>
      </c>
      <c r="G248" s="8">
        <f>SUMIF(Fluxo_Diário!$D$9:$D$1048576,Fluxo_Diário_DB!B248,Fluxo_Diário!$E$9:$E$1048576)</f>
        <v>0</v>
      </c>
      <c r="H248" s="8">
        <f t="shared" si="69"/>
        <v>293750</v>
      </c>
    </row>
    <row r="249" spans="2:8" x14ac:dyDescent="0.25">
      <c r="B249" s="10">
        <f t="shared" si="67"/>
        <v>44076</v>
      </c>
      <c r="C249" s="8">
        <f>SUMIF(Fluxo_Diário!$B$9:$B$1048576,Fluxo_Diário_DB!B249,Fluxo_Diário!$C$9:$C$1048576)</f>
        <v>0</v>
      </c>
      <c r="D249" s="8">
        <f t="shared" si="68"/>
        <v>293750</v>
      </c>
      <c r="F249" s="43">
        <f t="shared" si="66"/>
        <v>44076</v>
      </c>
      <c r="G249" s="8">
        <f>SUMIF(Fluxo_Diário!$D$9:$D$1048576,Fluxo_Diário_DB!B249,Fluxo_Diário!$E$9:$E$1048576)</f>
        <v>0</v>
      </c>
      <c r="H249" s="8">
        <f t="shared" si="69"/>
        <v>293750</v>
      </c>
    </row>
    <row r="250" spans="2:8" x14ac:dyDescent="0.25">
      <c r="B250" s="10">
        <f t="shared" si="67"/>
        <v>44077</v>
      </c>
      <c r="C250" s="8">
        <f>SUMIF(Fluxo_Diário!$B$9:$B$1048576,Fluxo_Diário_DB!B250,Fluxo_Diário!$C$9:$C$1048576)</f>
        <v>0</v>
      </c>
      <c r="D250" s="8">
        <f t="shared" si="68"/>
        <v>293750</v>
      </c>
      <c r="F250" s="43">
        <f t="shared" si="66"/>
        <v>44077</v>
      </c>
      <c r="G250" s="8">
        <f>SUMIF(Fluxo_Diário!$D$9:$D$1048576,Fluxo_Diário_DB!B250,Fluxo_Diário!$E$9:$E$1048576)</f>
        <v>0</v>
      </c>
      <c r="H250" s="8">
        <f t="shared" si="69"/>
        <v>293750</v>
      </c>
    </row>
    <row r="251" spans="2:8" x14ac:dyDescent="0.25">
      <c r="B251" s="10">
        <f t="shared" si="67"/>
        <v>44078</v>
      </c>
      <c r="C251" s="8">
        <f>SUMIF(Fluxo_Diário!$B$9:$B$1048576,Fluxo_Diário_DB!B251,Fluxo_Diário!$C$9:$C$1048576)</f>
        <v>0</v>
      </c>
      <c r="D251" s="8">
        <f t="shared" si="68"/>
        <v>293750</v>
      </c>
      <c r="F251" s="43">
        <f t="shared" si="66"/>
        <v>44078</v>
      </c>
      <c r="G251" s="8">
        <f>SUMIF(Fluxo_Diário!$D$9:$D$1048576,Fluxo_Diário_DB!B251,Fluxo_Diário!$E$9:$E$1048576)</f>
        <v>0</v>
      </c>
      <c r="H251" s="8">
        <f t="shared" si="69"/>
        <v>293750</v>
      </c>
    </row>
    <row r="252" spans="2:8" x14ac:dyDescent="0.25">
      <c r="B252" s="10">
        <f t="shared" si="67"/>
        <v>44079</v>
      </c>
      <c r="C252" s="8">
        <f>SUMIF(Fluxo_Diário!$B$9:$B$1048576,Fluxo_Diário_DB!B252,Fluxo_Diário!$C$9:$C$1048576)</f>
        <v>0</v>
      </c>
      <c r="D252" s="8">
        <f t="shared" si="68"/>
        <v>293750</v>
      </c>
      <c r="F252" s="43">
        <f t="shared" si="66"/>
        <v>44079</v>
      </c>
      <c r="G252" s="8">
        <f>SUMIF(Fluxo_Diário!$D$9:$D$1048576,Fluxo_Diário_DB!B252,Fluxo_Diário!$E$9:$E$1048576)</f>
        <v>0</v>
      </c>
      <c r="H252" s="8">
        <f t="shared" si="69"/>
        <v>293750</v>
      </c>
    </row>
    <row r="253" spans="2:8" x14ac:dyDescent="0.25">
      <c r="B253" s="10">
        <f t="shared" si="67"/>
        <v>44080</v>
      </c>
      <c r="C253" s="8">
        <f>SUMIF(Fluxo_Diário!$B$9:$B$1048576,Fluxo_Diário_DB!B253,Fluxo_Diário!$C$9:$C$1048576)</f>
        <v>0</v>
      </c>
      <c r="D253" s="8">
        <f t="shared" si="68"/>
        <v>293750</v>
      </c>
      <c r="F253" s="43">
        <f t="shared" si="66"/>
        <v>44080</v>
      </c>
      <c r="G253" s="8">
        <f>SUMIF(Fluxo_Diário!$D$9:$D$1048576,Fluxo_Diário_DB!B253,Fluxo_Diário!$E$9:$E$1048576)</f>
        <v>0</v>
      </c>
      <c r="H253" s="8">
        <f t="shared" si="69"/>
        <v>293750</v>
      </c>
    </row>
    <row r="254" spans="2:8" x14ac:dyDescent="0.25">
      <c r="B254" s="10">
        <f t="shared" si="67"/>
        <v>44081</v>
      </c>
      <c r="C254" s="8">
        <f>SUMIF(Fluxo_Diário!$B$9:$B$1048576,Fluxo_Diário_DB!B254,Fluxo_Diário!$C$9:$C$1048576)</f>
        <v>0</v>
      </c>
      <c r="D254" s="8">
        <f t="shared" si="68"/>
        <v>293750</v>
      </c>
      <c r="F254" s="43">
        <f t="shared" si="66"/>
        <v>44081</v>
      </c>
      <c r="G254" s="8">
        <f>SUMIF(Fluxo_Diário!$D$9:$D$1048576,Fluxo_Diário_DB!B254,Fluxo_Diário!$E$9:$E$1048576)</f>
        <v>0</v>
      </c>
      <c r="H254" s="8">
        <f t="shared" si="69"/>
        <v>293750</v>
      </c>
    </row>
    <row r="255" spans="2:8" x14ac:dyDescent="0.25">
      <c r="B255" s="10">
        <f t="shared" si="67"/>
        <v>44082</v>
      </c>
      <c r="C255" s="8">
        <f>SUMIF(Fluxo_Diário!$B$9:$B$1048576,Fluxo_Diário_DB!B255,Fluxo_Diário!$C$9:$C$1048576)</f>
        <v>0</v>
      </c>
      <c r="D255" s="8">
        <f t="shared" si="68"/>
        <v>293750</v>
      </c>
      <c r="F255" s="43">
        <f t="shared" si="66"/>
        <v>44082</v>
      </c>
      <c r="G255" s="8">
        <f>SUMIF(Fluxo_Diário!$D$9:$D$1048576,Fluxo_Diário_DB!B255,Fluxo_Diário!$E$9:$E$1048576)</f>
        <v>0</v>
      </c>
      <c r="H255" s="8">
        <f t="shared" si="69"/>
        <v>293750</v>
      </c>
    </row>
    <row r="256" spans="2:8" x14ac:dyDescent="0.25">
      <c r="B256" s="10">
        <f t="shared" si="67"/>
        <v>44083</v>
      </c>
      <c r="C256" s="8">
        <f>SUMIF(Fluxo_Diário!$B$9:$B$1048576,Fluxo_Diário_DB!B256,Fluxo_Diário!$C$9:$C$1048576)</f>
        <v>0</v>
      </c>
      <c r="D256" s="8">
        <f t="shared" si="68"/>
        <v>293750</v>
      </c>
      <c r="F256" s="43">
        <f t="shared" si="66"/>
        <v>44083</v>
      </c>
      <c r="G256" s="8">
        <f>SUMIF(Fluxo_Diário!$D$9:$D$1048576,Fluxo_Diário_DB!B256,Fluxo_Diário!$E$9:$E$1048576)</f>
        <v>0</v>
      </c>
      <c r="H256" s="8">
        <f t="shared" si="69"/>
        <v>293750</v>
      </c>
    </row>
    <row r="257" spans="2:8" x14ac:dyDescent="0.25">
      <c r="B257" s="10">
        <f t="shared" si="67"/>
        <v>44084</v>
      </c>
      <c r="C257" s="8">
        <f>SUMIF(Fluxo_Diário!$B$9:$B$1048576,Fluxo_Diário_DB!B257,Fluxo_Diário!$C$9:$C$1048576)</f>
        <v>0</v>
      </c>
      <c r="D257" s="8">
        <f t="shared" si="68"/>
        <v>293750</v>
      </c>
      <c r="F257" s="43">
        <f t="shared" si="66"/>
        <v>44084</v>
      </c>
      <c r="G257" s="8">
        <f>SUMIF(Fluxo_Diário!$D$9:$D$1048576,Fluxo_Diário_DB!B257,Fluxo_Diário!$E$9:$E$1048576)</f>
        <v>0</v>
      </c>
      <c r="H257" s="8">
        <f t="shared" si="69"/>
        <v>293750</v>
      </c>
    </row>
    <row r="258" spans="2:8" x14ac:dyDescent="0.25">
      <c r="B258" s="10">
        <f t="shared" si="67"/>
        <v>44085</v>
      </c>
      <c r="C258" s="8">
        <f>SUMIF(Fluxo_Diário!$B$9:$B$1048576,Fluxo_Diário_DB!B258,Fluxo_Diário!$C$9:$C$1048576)</f>
        <v>0</v>
      </c>
      <c r="D258" s="8">
        <f t="shared" si="68"/>
        <v>293750</v>
      </c>
      <c r="F258" s="43">
        <f t="shared" si="66"/>
        <v>44085</v>
      </c>
      <c r="G258" s="8">
        <f>SUMIF(Fluxo_Diário!$D$9:$D$1048576,Fluxo_Diário_DB!B258,Fluxo_Diário!$E$9:$E$1048576)</f>
        <v>0</v>
      </c>
      <c r="H258" s="8">
        <f t="shared" si="69"/>
        <v>293750</v>
      </c>
    </row>
    <row r="259" spans="2:8" x14ac:dyDescent="0.25">
      <c r="B259" s="10">
        <f t="shared" si="67"/>
        <v>44086</v>
      </c>
      <c r="C259" s="8">
        <f>SUMIF(Fluxo_Diário!$B$9:$B$1048576,Fluxo_Diário_DB!B259,Fluxo_Diário!$C$9:$C$1048576)</f>
        <v>0</v>
      </c>
      <c r="D259" s="8">
        <f t="shared" si="68"/>
        <v>293750</v>
      </c>
      <c r="F259" s="43">
        <f t="shared" si="66"/>
        <v>44086</v>
      </c>
      <c r="G259" s="8">
        <f>SUMIF(Fluxo_Diário!$D$9:$D$1048576,Fluxo_Diário_DB!B259,Fluxo_Diário!$E$9:$E$1048576)</f>
        <v>0</v>
      </c>
      <c r="H259" s="8">
        <f t="shared" si="69"/>
        <v>293750</v>
      </c>
    </row>
    <row r="260" spans="2:8" x14ac:dyDescent="0.25">
      <c r="B260" s="10">
        <f t="shared" si="67"/>
        <v>44087</v>
      </c>
      <c r="C260" s="8">
        <f>SUMIF(Fluxo_Diário!$B$9:$B$1048576,Fluxo_Diário_DB!B260,Fluxo_Diário!$C$9:$C$1048576)</f>
        <v>0</v>
      </c>
      <c r="D260" s="8">
        <f t="shared" si="68"/>
        <v>293750</v>
      </c>
      <c r="F260" s="43">
        <f t="shared" ref="F260:F323" si="70">B260</f>
        <v>44087</v>
      </c>
      <c r="G260" s="8">
        <f>SUMIF(Fluxo_Diário!$D$9:$D$1048576,Fluxo_Diário_DB!B260,Fluxo_Diário!$E$9:$E$1048576)</f>
        <v>0</v>
      </c>
      <c r="H260" s="8">
        <f t="shared" si="69"/>
        <v>293750</v>
      </c>
    </row>
    <row r="261" spans="2:8" x14ac:dyDescent="0.25">
      <c r="B261" s="10">
        <f t="shared" ref="B261:B324" si="71">B260+1</f>
        <v>44088</v>
      </c>
      <c r="C261" s="8">
        <f>SUMIF(Fluxo_Diário!$B$9:$B$1048576,Fluxo_Diário_DB!B261,Fluxo_Diário!$C$9:$C$1048576)</f>
        <v>0</v>
      </c>
      <c r="D261" s="8">
        <f t="shared" ref="D261:D324" si="72">C261+D260</f>
        <v>293750</v>
      </c>
      <c r="F261" s="43">
        <f t="shared" si="70"/>
        <v>44088</v>
      </c>
      <c r="G261" s="8">
        <f>SUMIF(Fluxo_Diário!$D$9:$D$1048576,Fluxo_Diário_DB!B261,Fluxo_Diário!$E$9:$E$1048576)</f>
        <v>0</v>
      </c>
      <c r="H261" s="8">
        <f t="shared" ref="H261:H324" si="73">G261+H260</f>
        <v>293750</v>
      </c>
    </row>
    <row r="262" spans="2:8" x14ac:dyDescent="0.25">
      <c r="B262" s="10">
        <f t="shared" si="71"/>
        <v>44089</v>
      </c>
      <c r="C262" s="8">
        <f>SUMIF(Fluxo_Diário!$B$9:$B$1048576,Fluxo_Diário_DB!B262,Fluxo_Diário!$C$9:$C$1048576)</f>
        <v>0</v>
      </c>
      <c r="D262" s="8">
        <f t="shared" si="72"/>
        <v>293750</v>
      </c>
      <c r="F262" s="43">
        <f t="shared" si="70"/>
        <v>44089</v>
      </c>
      <c r="G262" s="8">
        <f>SUMIF(Fluxo_Diário!$D$9:$D$1048576,Fluxo_Diário_DB!B262,Fluxo_Diário!$E$9:$E$1048576)</f>
        <v>0</v>
      </c>
      <c r="H262" s="8">
        <f t="shared" si="73"/>
        <v>293750</v>
      </c>
    </row>
    <row r="263" spans="2:8" x14ac:dyDescent="0.25">
      <c r="B263" s="10">
        <f t="shared" si="71"/>
        <v>44090</v>
      </c>
      <c r="C263" s="8">
        <f>SUMIF(Fluxo_Diário!$B$9:$B$1048576,Fluxo_Diário_DB!B263,Fluxo_Diário!$C$9:$C$1048576)</f>
        <v>0</v>
      </c>
      <c r="D263" s="8">
        <f t="shared" si="72"/>
        <v>293750</v>
      </c>
      <c r="F263" s="43">
        <f t="shared" si="70"/>
        <v>44090</v>
      </c>
      <c r="G263" s="8">
        <f>SUMIF(Fluxo_Diário!$D$9:$D$1048576,Fluxo_Diário_DB!B263,Fluxo_Diário!$E$9:$E$1048576)</f>
        <v>0</v>
      </c>
      <c r="H263" s="8">
        <f t="shared" si="73"/>
        <v>293750</v>
      </c>
    </row>
    <row r="264" spans="2:8" x14ac:dyDescent="0.25">
      <c r="B264" s="10">
        <f t="shared" si="71"/>
        <v>44091</v>
      </c>
      <c r="C264" s="8">
        <f>SUMIF(Fluxo_Diário!$B$9:$B$1048576,Fluxo_Diário_DB!B264,Fluxo_Diário!$C$9:$C$1048576)</f>
        <v>0</v>
      </c>
      <c r="D264" s="8">
        <f t="shared" si="72"/>
        <v>293750</v>
      </c>
      <c r="F264" s="43">
        <f t="shared" si="70"/>
        <v>44091</v>
      </c>
      <c r="G264" s="8">
        <f>SUMIF(Fluxo_Diário!$D$9:$D$1048576,Fluxo_Diário_DB!B264,Fluxo_Diário!$E$9:$E$1048576)</f>
        <v>0</v>
      </c>
      <c r="H264" s="8">
        <f t="shared" si="73"/>
        <v>293750</v>
      </c>
    </row>
    <row r="265" spans="2:8" x14ac:dyDescent="0.25">
      <c r="B265" s="10">
        <f t="shared" si="71"/>
        <v>44092</v>
      </c>
      <c r="C265" s="8">
        <f>SUMIF(Fluxo_Diário!$B$9:$B$1048576,Fluxo_Diário_DB!B265,Fluxo_Diário!$C$9:$C$1048576)</f>
        <v>0</v>
      </c>
      <c r="D265" s="8">
        <f t="shared" si="72"/>
        <v>293750</v>
      </c>
      <c r="F265" s="43">
        <f t="shared" si="70"/>
        <v>44092</v>
      </c>
      <c r="G265" s="8">
        <f>SUMIF(Fluxo_Diário!$D$9:$D$1048576,Fluxo_Diário_DB!B265,Fluxo_Diário!$E$9:$E$1048576)</f>
        <v>0</v>
      </c>
      <c r="H265" s="8">
        <f t="shared" si="73"/>
        <v>293750</v>
      </c>
    </row>
    <row r="266" spans="2:8" x14ac:dyDescent="0.25">
      <c r="B266" s="10">
        <f t="shared" si="71"/>
        <v>44093</v>
      </c>
      <c r="C266" s="8">
        <f>SUMIF(Fluxo_Diário!$B$9:$B$1048576,Fluxo_Diário_DB!B266,Fluxo_Diário!$C$9:$C$1048576)</f>
        <v>0</v>
      </c>
      <c r="D266" s="8">
        <f t="shared" si="72"/>
        <v>293750</v>
      </c>
      <c r="F266" s="43">
        <f t="shared" si="70"/>
        <v>44093</v>
      </c>
      <c r="G266" s="8">
        <f>SUMIF(Fluxo_Diário!$D$9:$D$1048576,Fluxo_Diário_DB!B266,Fluxo_Diário!$E$9:$E$1048576)</f>
        <v>0</v>
      </c>
      <c r="H266" s="8">
        <f t="shared" si="73"/>
        <v>293750</v>
      </c>
    </row>
    <row r="267" spans="2:8" x14ac:dyDescent="0.25">
      <c r="B267" s="10">
        <f t="shared" si="71"/>
        <v>44094</v>
      </c>
      <c r="C267" s="8">
        <f>SUMIF(Fluxo_Diário!$B$9:$B$1048576,Fluxo_Diário_DB!B267,Fluxo_Diário!$C$9:$C$1048576)</f>
        <v>0</v>
      </c>
      <c r="D267" s="8">
        <f t="shared" si="72"/>
        <v>293750</v>
      </c>
      <c r="F267" s="43">
        <f t="shared" si="70"/>
        <v>44094</v>
      </c>
      <c r="G267" s="8">
        <f>SUMIF(Fluxo_Diário!$D$9:$D$1048576,Fluxo_Diário_DB!B267,Fluxo_Diário!$E$9:$E$1048576)</f>
        <v>0</v>
      </c>
      <c r="H267" s="8">
        <f t="shared" si="73"/>
        <v>293750</v>
      </c>
    </row>
    <row r="268" spans="2:8" x14ac:dyDescent="0.25">
      <c r="B268" s="10">
        <f t="shared" si="71"/>
        <v>44095</v>
      </c>
      <c r="C268" s="8">
        <f>SUMIF(Fluxo_Diário!$B$9:$B$1048576,Fluxo_Diário_DB!B268,Fluxo_Diário!$C$9:$C$1048576)</f>
        <v>0</v>
      </c>
      <c r="D268" s="8">
        <f t="shared" si="72"/>
        <v>293750</v>
      </c>
      <c r="F268" s="43">
        <f t="shared" si="70"/>
        <v>44095</v>
      </c>
      <c r="G268" s="8">
        <f>SUMIF(Fluxo_Diário!$D$9:$D$1048576,Fluxo_Diário_DB!B268,Fluxo_Diário!$E$9:$E$1048576)</f>
        <v>0</v>
      </c>
      <c r="H268" s="8">
        <f t="shared" si="73"/>
        <v>293750</v>
      </c>
    </row>
    <row r="269" spans="2:8" x14ac:dyDescent="0.25">
      <c r="B269" s="10">
        <f t="shared" si="71"/>
        <v>44096</v>
      </c>
      <c r="C269" s="8">
        <f>SUMIF(Fluxo_Diário!$B$9:$B$1048576,Fluxo_Diário_DB!B269,Fluxo_Diário!$C$9:$C$1048576)</f>
        <v>0</v>
      </c>
      <c r="D269" s="8">
        <f t="shared" si="72"/>
        <v>293750</v>
      </c>
      <c r="F269" s="43">
        <f t="shared" si="70"/>
        <v>44096</v>
      </c>
      <c r="G269" s="8">
        <f>SUMIF(Fluxo_Diário!$D$9:$D$1048576,Fluxo_Diário_DB!B269,Fluxo_Diário!$E$9:$E$1048576)</f>
        <v>0</v>
      </c>
      <c r="H269" s="8">
        <f t="shared" si="73"/>
        <v>293750</v>
      </c>
    </row>
    <row r="270" spans="2:8" x14ac:dyDescent="0.25">
      <c r="B270" s="10">
        <f t="shared" si="71"/>
        <v>44097</v>
      </c>
      <c r="C270" s="8">
        <f>SUMIF(Fluxo_Diário!$B$9:$B$1048576,Fluxo_Diário_DB!B270,Fluxo_Diário!$C$9:$C$1048576)</f>
        <v>0</v>
      </c>
      <c r="D270" s="8">
        <f t="shared" si="72"/>
        <v>293750</v>
      </c>
      <c r="F270" s="43">
        <f t="shared" si="70"/>
        <v>44097</v>
      </c>
      <c r="G270" s="8">
        <f>SUMIF(Fluxo_Diário!$D$9:$D$1048576,Fluxo_Diário_DB!B270,Fluxo_Diário!$E$9:$E$1048576)</f>
        <v>0</v>
      </c>
      <c r="H270" s="8">
        <f t="shared" si="73"/>
        <v>293750</v>
      </c>
    </row>
    <row r="271" spans="2:8" x14ac:dyDescent="0.25">
      <c r="B271" s="10">
        <f t="shared" si="71"/>
        <v>44098</v>
      </c>
      <c r="C271" s="8">
        <f>SUMIF(Fluxo_Diário!$B$9:$B$1048576,Fluxo_Diário_DB!B271,Fluxo_Diário!$C$9:$C$1048576)</f>
        <v>0</v>
      </c>
      <c r="D271" s="8">
        <f t="shared" si="72"/>
        <v>293750</v>
      </c>
      <c r="F271" s="43">
        <f t="shared" si="70"/>
        <v>44098</v>
      </c>
      <c r="G271" s="8">
        <f>SUMIF(Fluxo_Diário!$D$9:$D$1048576,Fluxo_Diário_DB!B271,Fluxo_Diário!$E$9:$E$1048576)</f>
        <v>0</v>
      </c>
      <c r="H271" s="8">
        <f t="shared" si="73"/>
        <v>293750</v>
      </c>
    </row>
    <row r="272" spans="2:8" x14ac:dyDescent="0.25">
      <c r="B272" s="10">
        <f t="shared" si="71"/>
        <v>44099</v>
      </c>
      <c r="C272" s="8">
        <f>SUMIF(Fluxo_Diário!$B$9:$B$1048576,Fluxo_Diário_DB!B272,Fluxo_Diário!$C$9:$C$1048576)</f>
        <v>0</v>
      </c>
      <c r="D272" s="8">
        <f t="shared" si="72"/>
        <v>293750</v>
      </c>
      <c r="F272" s="43">
        <f t="shared" si="70"/>
        <v>44099</v>
      </c>
      <c r="G272" s="8">
        <f>SUMIF(Fluxo_Diário!$D$9:$D$1048576,Fluxo_Diário_DB!B272,Fluxo_Diário!$E$9:$E$1048576)</f>
        <v>0</v>
      </c>
      <c r="H272" s="8">
        <f t="shared" si="73"/>
        <v>293750</v>
      </c>
    </row>
    <row r="273" spans="2:8" x14ac:dyDescent="0.25">
      <c r="B273" s="10">
        <f t="shared" si="71"/>
        <v>44100</v>
      </c>
      <c r="C273" s="8">
        <f>SUMIF(Fluxo_Diário!$B$9:$B$1048576,Fluxo_Diário_DB!B273,Fluxo_Diário!$C$9:$C$1048576)</f>
        <v>0</v>
      </c>
      <c r="D273" s="8">
        <f t="shared" si="72"/>
        <v>293750</v>
      </c>
      <c r="F273" s="43">
        <f t="shared" si="70"/>
        <v>44100</v>
      </c>
      <c r="G273" s="8">
        <f>SUMIF(Fluxo_Diário!$D$9:$D$1048576,Fluxo_Diário_DB!B273,Fluxo_Diário!$E$9:$E$1048576)</f>
        <v>0</v>
      </c>
      <c r="H273" s="8">
        <f t="shared" si="73"/>
        <v>293750</v>
      </c>
    </row>
    <row r="274" spans="2:8" x14ac:dyDescent="0.25">
      <c r="B274" s="10">
        <f t="shared" si="71"/>
        <v>44101</v>
      </c>
      <c r="C274" s="8">
        <f>SUMIF(Fluxo_Diário!$B$9:$B$1048576,Fluxo_Diário_DB!B274,Fluxo_Diário!$C$9:$C$1048576)</f>
        <v>0</v>
      </c>
      <c r="D274" s="8">
        <f t="shared" si="72"/>
        <v>293750</v>
      </c>
      <c r="F274" s="43">
        <f t="shared" si="70"/>
        <v>44101</v>
      </c>
      <c r="G274" s="8">
        <f>SUMIF(Fluxo_Diário!$D$9:$D$1048576,Fluxo_Diário_DB!B274,Fluxo_Diário!$E$9:$E$1048576)</f>
        <v>0</v>
      </c>
      <c r="H274" s="8">
        <f t="shared" si="73"/>
        <v>293750</v>
      </c>
    </row>
    <row r="275" spans="2:8" x14ac:dyDescent="0.25">
      <c r="B275" s="10">
        <f t="shared" si="71"/>
        <v>44102</v>
      </c>
      <c r="C275" s="8">
        <f>SUMIF(Fluxo_Diário!$B$9:$B$1048576,Fluxo_Diário_DB!B275,Fluxo_Diário!$C$9:$C$1048576)</f>
        <v>0</v>
      </c>
      <c r="D275" s="8">
        <f t="shared" si="72"/>
        <v>293750</v>
      </c>
      <c r="F275" s="43">
        <f t="shared" si="70"/>
        <v>44102</v>
      </c>
      <c r="G275" s="8">
        <f>SUMIF(Fluxo_Diário!$D$9:$D$1048576,Fluxo_Diário_DB!B275,Fluxo_Diário!$E$9:$E$1048576)</f>
        <v>0</v>
      </c>
      <c r="H275" s="8">
        <f t="shared" si="73"/>
        <v>293750</v>
      </c>
    </row>
    <row r="276" spans="2:8" x14ac:dyDescent="0.25">
      <c r="B276" s="10">
        <f t="shared" si="71"/>
        <v>44103</v>
      </c>
      <c r="C276" s="8">
        <f>SUMIF(Fluxo_Diário!$B$9:$B$1048576,Fluxo_Diário_DB!B276,Fluxo_Diário!$C$9:$C$1048576)</f>
        <v>0</v>
      </c>
      <c r="D276" s="8">
        <f t="shared" si="72"/>
        <v>293750</v>
      </c>
      <c r="F276" s="43">
        <f t="shared" si="70"/>
        <v>44103</v>
      </c>
      <c r="G276" s="8">
        <f>SUMIF(Fluxo_Diário!$D$9:$D$1048576,Fluxo_Diário_DB!B276,Fluxo_Diário!$E$9:$E$1048576)</f>
        <v>0</v>
      </c>
      <c r="H276" s="8">
        <f t="shared" si="73"/>
        <v>293750</v>
      </c>
    </row>
    <row r="277" spans="2:8" x14ac:dyDescent="0.25">
      <c r="B277" s="10">
        <f t="shared" si="71"/>
        <v>44104</v>
      </c>
      <c r="C277" s="8">
        <f>SUMIF(Fluxo_Diário!$B$9:$B$1048576,Fluxo_Diário_DB!B277,Fluxo_Diário!$C$9:$C$1048576)</f>
        <v>0</v>
      </c>
      <c r="D277" s="8">
        <f t="shared" si="72"/>
        <v>293750</v>
      </c>
      <c r="F277" s="43">
        <f t="shared" si="70"/>
        <v>44104</v>
      </c>
      <c r="G277" s="8">
        <f>SUMIF(Fluxo_Diário!$D$9:$D$1048576,Fluxo_Diário_DB!B277,Fluxo_Diário!$E$9:$E$1048576)</f>
        <v>0</v>
      </c>
      <c r="H277" s="8">
        <f t="shared" si="73"/>
        <v>293750</v>
      </c>
    </row>
    <row r="278" spans="2:8" x14ac:dyDescent="0.25">
      <c r="B278" s="10">
        <f t="shared" si="71"/>
        <v>44105</v>
      </c>
      <c r="C278" s="8">
        <f>SUMIF(Fluxo_Diário!$B$9:$B$1048576,Fluxo_Diário_DB!B278,Fluxo_Diário!$C$9:$C$1048576)</f>
        <v>0</v>
      </c>
      <c r="D278" s="8">
        <f t="shared" si="72"/>
        <v>293750</v>
      </c>
      <c r="F278" s="43">
        <f t="shared" si="70"/>
        <v>44105</v>
      </c>
      <c r="G278" s="8">
        <f>SUMIF(Fluxo_Diário!$D$9:$D$1048576,Fluxo_Diário_DB!B278,Fluxo_Diário!$E$9:$E$1048576)</f>
        <v>0</v>
      </c>
      <c r="H278" s="8">
        <f t="shared" si="73"/>
        <v>293750</v>
      </c>
    </row>
    <row r="279" spans="2:8" x14ac:dyDescent="0.25">
      <c r="B279" s="10">
        <f t="shared" si="71"/>
        <v>44106</v>
      </c>
      <c r="C279" s="8">
        <f>SUMIF(Fluxo_Diário!$B$9:$B$1048576,Fluxo_Diário_DB!B279,Fluxo_Diário!$C$9:$C$1048576)</f>
        <v>0</v>
      </c>
      <c r="D279" s="8">
        <f t="shared" si="72"/>
        <v>293750</v>
      </c>
      <c r="F279" s="43">
        <f t="shared" si="70"/>
        <v>44106</v>
      </c>
      <c r="G279" s="8">
        <f>SUMIF(Fluxo_Diário!$D$9:$D$1048576,Fluxo_Diário_DB!B279,Fluxo_Diário!$E$9:$E$1048576)</f>
        <v>0</v>
      </c>
      <c r="H279" s="8">
        <f t="shared" si="73"/>
        <v>293750</v>
      </c>
    </row>
    <row r="280" spans="2:8" x14ac:dyDescent="0.25">
      <c r="B280" s="10">
        <f t="shared" si="71"/>
        <v>44107</v>
      </c>
      <c r="C280" s="8">
        <f>SUMIF(Fluxo_Diário!$B$9:$B$1048576,Fluxo_Diário_DB!B280,Fluxo_Diário!$C$9:$C$1048576)</f>
        <v>0</v>
      </c>
      <c r="D280" s="8">
        <f t="shared" si="72"/>
        <v>293750</v>
      </c>
      <c r="F280" s="43">
        <f t="shared" si="70"/>
        <v>44107</v>
      </c>
      <c r="G280" s="8">
        <f>SUMIF(Fluxo_Diário!$D$9:$D$1048576,Fluxo_Diário_DB!B280,Fluxo_Diário!$E$9:$E$1048576)</f>
        <v>0</v>
      </c>
      <c r="H280" s="8">
        <f t="shared" si="73"/>
        <v>293750</v>
      </c>
    </row>
    <row r="281" spans="2:8" x14ac:dyDescent="0.25">
      <c r="B281" s="10">
        <f t="shared" si="71"/>
        <v>44108</v>
      </c>
      <c r="C281" s="8">
        <f>SUMIF(Fluxo_Diário!$B$9:$B$1048576,Fluxo_Diário_DB!B281,Fluxo_Diário!$C$9:$C$1048576)</f>
        <v>0</v>
      </c>
      <c r="D281" s="8">
        <f t="shared" si="72"/>
        <v>293750</v>
      </c>
      <c r="F281" s="43">
        <f t="shared" si="70"/>
        <v>44108</v>
      </c>
      <c r="G281" s="8">
        <f>SUMIF(Fluxo_Diário!$D$9:$D$1048576,Fluxo_Diário_DB!B281,Fluxo_Diário!$E$9:$E$1048576)</f>
        <v>0</v>
      </c>
      <c r="H281" s="8">
        <f t="shared" si="73"/>
        <v>293750</v>
      </c>
    </row>
    <row r="282" spans="2:8" x14ac:dyDescent="0.25">
      <c r="B282" s="10">
        <f t="shared" si="71"/>
        <v>44109</v>
      </c>
      <c r="C282" s="8">
        <f>SUMIF(Fluxo_Diário!$B$9:$B$1048576,Fluxo_Diário_DB!B282,Fluxo_Diário!$C$9:$C$1048576)</f>
        <v>0</v>
      </c>
      <c r="D282" s="8">
        <f t="shared" si="72"/>
        <v>293750</v>
      </c>
      <c r="F282" s="43">
        <f t="shared" si="70"/>
        <v>44109</v>
      </c>
      <c r="G282" s="8">
        <f>SUMIF(Fluxo_Diário!$D$9:$D$1048576,Fluxo_Diário_DB!B282,Fluxo_Diário!$E$9:$E$1048576)</f>
        <v>0</v>
      </c>
      <c r="H282" s="8">
        <f t="shared" si="73"/>
        <v>293750</v>
      </c>
    </row>
    <row r="283" spans="2:8" x14ac:dyDescent="0.25">
      <c r="B283" s="10">
        <f t="shared" si="71"/>
        <v>44110</v>
      </c>
      <c r="C283" s="8">
        <f>SUMIF(Fluxo_Diário!$B$9:$B$1048576,Fluxo_Diário_DB!B283,Fluxo_Diário!$C$9:$C$1048576)</f>
        <v>0</v>
      </c>
      <c r="D283" s="8">
        <f t="shared" si="72"/>
        <v>293750</v>
      </c>
      <c r="F283" s="43">
        <f t="shared" si="70"/>
        <v>44110</v>
      </c>
      <c r="G283" s="8">
        <f>SUMIF(Fluxo_Diário!$D$9:$D$1048576,Fluxo_Diário_DB!B283,Fluxo_Diário!$E$9:$E$1048576)</f>
        <v>0</v>
      </c>
      <c r="H283" s="8">
        <f t="shared" si="73"/>
        <v>293750</v>
      </c>
    </row>
    <row r="284" spans="2:8" x14ac:dyDescent="0.25">
      <c r="B284" s="10">
        <f t="shared" si="71"/>
        <v>44111</v>
      </c>
      <c r="C284" s="8">
        <f>SUMIF(Fluxo_Diário!$B$9:$B$1048576,Fluxo_Diário_DB!B284,Fluxo_Diário!$C$9:$C$1048576)</f>
        <v>0</v>
      </c>
      <c r="D284" s="8">
        <f t="shared" si="72"/>
        <v>293750</v>
      </c>
      <c r="F284" s="43">
        <f t="shared" si="70"/>
        <v>44111</v>
      </c>
      <c r="G284" s="8">
        <f>SUMIF(Fluxo_Diário!$D$9:$D$1048576,Fluxo_Diário_DB!B284,Fluxo_Diário!$E$9:$E$1048576)</f>
        <v>0</v>
      </c>
      <c r="H284" s="8">
        <f t="shared" si="73"/>
        <v>293750</v>
      </c>
    </row>
    <row r="285" spans="2:8" x14ac:dyDescent="0.25">
      <c r="B285" s="10">
        <f t="shared" si="71"/>
        <v>44112</v>
      </c>
      <c r="C285" s="8">
        <f>SUMIF(Fluxo_Diário!$B$9:$B$1048576,Fluxo_Diário_DB!B285,Fluxo_Diário!$C$9:$C$1048576)</f>
        <v>0</v>
      </c>
      <c r="D285" s="8">
        <f t="shared" si="72"/>
        <v>293750</v>
      </c>
      <c r="F285" s="43">
        <f t="shared" si="70"/>
        <v>44112</v>
      </c>
      <c r="G285" s="8">
        <f>SUMIF(Fluxo_Diário!$D$9:$D$1048576,Fluxo_Diário_DB!B285,Fluxo_Diário!$E$9:$E$1048576)</f>
        <v>0</v>
      </c>
      <c r="H285" s="8">
        <f t="shared" si="73"/>
        <v>293750</v>
      </c>
    </row>
    <row r="286" spans="2:8" x14ac:dyDescent="0.25">
      <c r="B286" s="10">
        <f t="shared" si="71"/>
        <v>44113</v>
      </c>
      <c r="C286" s="8">
        <f>SUMIF(Fluxo_Diário!$B$9:$B$1048576,Fluxo_Diário_DB!B286,Fluxo_Diário!$C$9:$C$1048576)</f>
        <v>0</v>
      </c>
      <c r="D286" s="8">
        <f t="shared" si="72"/>
        <v>293750</v>
      </c>
      <c r="F286" s="43">
        <f t="shared" si="70"/>
        <v>44113</v>
      </c>
      <c r="G286" s="8">
        <f>SUMIF(Fluxo_Diário!$D$9:$D$1048576,Fluxo_Diário_DB!B286,Fluxo_Diário!$E$9:$E$1048576)</f>
        <v>0</v>
      </c>
      <c r="H286" s="8">
        <f t="shared" si="73"/>
        <v>293750</v>
      </c>
    </row>
    <row r="287" spans="2:8" x14ac:dyDescent="0.25">
      <c r="B287" s="10">
        <f t="shared" si="71"/>
        <v>44114</v>
      </c>
      <c r="C287" s="8">
        <f>SUMIF(Fluxo_Diário!$B$9:$B$1048576,Fluxo_Diário_DB!B287,Fluxo_Diário!$C$9:$C$1048576)</f>
        <v>0</v>
      </c>
      <c r="D287" s="8">
        <f t="shared" si="72"/>
        <v>293750</v>
      </c>
      <c r="F287" s="43">
        <f t="shared" si="70"/>
        <v>44114</v>
      </c>
      <c r="G287" s="8">
        <f>SUMIF(Fluxo_Diário!$D$9:$D$1048576,Fluxo_Diário_DB!B287,Fluxo_Diário!$E$9:$E$1048576)</f>
        <v>0</v>
      </c>
      <c r="H287" s="8">
        <f t="shared" si="73"/>
        <v>293750</v>
      </c>
    </row>
    <row r="288" spans="2:8" x14ac:dyDescent="0.25">
      <c r="B288" s="10">
        <f t="shared" si="71"/>
        <v>44115</v>
      </c>
      <c r="C288" s="8">
        <f>SUMIF(Fluxo_Diário!$B$9:$B$1048576,Fluxo_Diário_DB!B288,Fluxo_Diário!$C$9:$C$1048576)</f>
        <v>0</v>
      </c>
      <c r="D288" s="8">
        <f t="shared" si="72"/>
        <v>293750</v>
      </c>
      <c r="F288" s="43">
        <f t="shared" si="70"/>
        <v>44115</v>
      </c>
      <c r="G288" s="8">
        <f>SUMIF(Fluxo_Diário!$D$9:$D$1048576,Fluxo_Diário_DB!B288,Fluxo_Diário!$E$9:$E$1048576)</f>
        <v>0</v>
      </c>
      <c r="H288" s="8">
        <f t="shared" si="73"/>
        <v>293750</v>
      </c>
    </row>
    <row r="289" spans="2:8" x14ac:dyDescent="0.25">
      <c r="B289" s="10">
        <f t="shared" si="71"/>
        <v>44116</v>
      </c>
      <c r="C289" s="8">
        <f>SUMIF(Fluxo_Diário!$B$9:$B$1048576,Fluxo_Diário_DB!B289,Fluxo_Diário!$C$9:$C$1048576)</f>
        <v>0</v>
      </c>
      <c r="D289" s="8">
        <f t="shared" si="72"/>
        <v>293750</v>
      </c>
      <c r="F289" s="43">
        <f t="shared" si="70"/>
        <v>44116</v>
      </c>
      <c r="G289" s="8">
        <f>SUMIF(Fluxo_Diário!$D$9:$D$1048576,Fluxo_Diário_DB!B289,Fluxo_Diário!$E$9:$E$1048576)</f>
        <v>0</v>
      </c>
      <c r="H289" s="8">
        <f t="shared" si="73"/>
        <v>293750</v>
      </c>
    </row>
    <row r="290" spans="2:8" x14ac:dyDescent="0.25">
      <c r="B290" s="10">
        <f t="shared" si="71"/>
        <v>44117</v>
      </c>
      <c r="C290" s="8">
        <f>SUMIF(Fluxo_Diário!$B$9:$B$1048576,Fluxo_Diário_DB!B290,Fluxo_Diário!$C$9:$C$1048576)</f>
        <v>0</v>
      </c>
      <c r="D290" s="8">
        <f t="shared" si="72"/>
        <v>293750</v>
      </c>
      <c r="F290" s="43">
        <f t="shared" si="70"/>
        <v>44117</v>
      </c>
      <c r="G290" s="8">
        <f>SUMIF(Fluxo_Diário!$D$9:$D$1048576,Fluxo_Diário_DB!B290,Fluxo_Diário!$E$9:$E$1048576)</f>
        <v>0</v>
      </c>
      <c r="H290" s="8">
        <f t="shared" si="73"/>
        <v>293750</v>
      </c>
    </row>
    <row r="291" spans="2:8" x14ac:dyDescent="0.25">
      <c r="B291" s="10">
        <f t="shared" si="71"/>
        <v>44118</v>
      </c>
      <c r="C291" s="8">
        <f>SUMIF(Fluxo_Diário!$B$9:$B$1048576,Fluxo_Diário_DB!B291,Fluxo_Diário!$C$9:$C$1048576)</f>
        <v>0</v>
      </c>
      <c r="D291" s="8">
        <f t="shared" si="72"/>
        <v>293750</v>
      </c>
      <c r="F291" s="43">
        <f t="shared" si="70"/>
        <v>44118</v>
      </c>
      <c r="G291" s="8">
        <f>SUMIF(Fluxo_Diário!$D$9:$D$1048576,Fluxo_Diário_DB!B291,Fluxo_Diário!$E$9:$E$1048576)</f>
        <v>0</v>
      </c>
      <c r="H291" s="8">
        <f t="shared" si="73"/>
        <v>293750</v>
      </c>
    </row>
    <row r="292" spans="2:8" x14ac:dyDescent="0.25">
      <c r="B292" s="10">
        <f t="shared" si="71"/>
        <v>44119</v>
      </c>
      <c r="C292" s="8">
        <f>SUMIF(Fluxo_Diário!$B$9:$B$1048576,Fluxo_Diário_DB!B292,Fluxo_Diário!$C$9:$C$1048576)</f>
        <v>0</v>
      </c>
      <c r="D292" s="8">
        <f t="shared" si="72"/>
        <v>293750</v>
      </c>
      <c r="F292" s="43">
        <f t="shared" si="70"/>
        <v>44119</v>
      </c>
      <c r="G292" s="8">
        <f>SUMIF(Fluxo_Diário!$D$9:$D$1048576,Fluxo_Diário_DB!B292,Fluxo_Diário!$E$9:$E$1048576)</f>
        <v>0</v>
      </c>
      <c r="H292" s="8">
        <f t="shared" si="73"/>
        <v>293750</v>
      </c>
    </row>
    <row r="293" spans="2:8" x14ac:dyDescent="0.25">
      <c r="B293" s="10">
        <f t="shared" si="71"/>
        <v>44120</v>
      </c>
      <c r="C293" s="8">
        <f>SUMIF(Fluxo_Diário!$B$9:$B$1048576,Fluxo_Diário_DB!B293,Fluxo_Diário!$C$9:$C$1048576)</f>
        <v>0</v>
      </c>
      <c r="D293" s="8">
        <f t="shared" si="72"/>
        <v>293750</v>
      </c>
      <c r="F293" s="43">
        <f t="shared" si="70"/>
        <v>44120</v>
      </c>
      <c r="G293" s="8">
        <f>SUMIF(Fluxo_Diário!$D$9:$D$1048576,Fluxo_Diário_DB!B293,Fluxo_Diário!$E$9:$E$1048576)</f>
        <v>0</v>
      </c>
      <c r="H293" s="8">
        <f t="shared" si="73"/>
        <v>293750</v>
      </c>
    </row>
    <row r="294" spans="2:8" x14ac:dyDescent="0.25">
      <c r="B294" s="10">
        <f t="shared" si="71"/>
        <v>44121</v>
      </c>
      <c r="C294" s="8">
        <f>SUMIF(Fluxo_Diário!$B$9:$B$1048576,Fluxo_Diário_DB!B294,Fluxo_Diário!$C$9:$C$1048576)</f>
        <v>0</v>
      </c>
      <c r="D294" s="8">
        <f t="shared" si="72"/>
        <v>293750</v>
      </c>
      <c r="F294" s="43">
        <f t="shared" si="70"/>
        <v>44121</v>
      </c>
      <c r="G294" s="8">
        <f>SUMIF(Fluxo_Diário!$D$9:$D$1048576,Fluxo_Diário_DB!B294,Fluxo_Diário!$E$9:$E$1048576)</f>
        <v>0</v>
      </c>
      <c r="H294" s="8">
        <f t="shared" si="73"/>
        <v>293750</v>
      </c>
    </row>
    <row r="295" spans="2:8" x14ac:dyDescent="0.25">
      <c r="B295" s="10">
        <f t="shared" si="71"/>
        <v>44122</v>
      </c>
      <c r="C295" s="8">
        <f>SUMIF(Fluxo_Diário!$B$9:$B$1048576,Fluxo_Diário_DB!B295,Fluxo_Diário!$C$9:$C$1048576)</f>
        <v>0</v>
      </c>
      <c r="D295" s="8">
        <f t="shared" si="72"/>
        <v>293750</v>
      </c>
      <c r="F295" s="43">
        <f t="shared" si="70"/>
        <v>44122</v>
      </c>
      <c r="G295" s="8">
        <f>SUMIF(Fluxo_Diário!$D$9:$D$1048576,Fluxo_Diário_DB!B295,Fluxo_Diário!$E$9:$E$1048576)</f>
        <v>0</v>
      </c>
      <c r="H295" s="8">
        <f t="shared" si="73"/>
        <v>293750</v>
      </c>
    </row>
    <row r="296" spans="2:8" x14ac:dyDescent="0.25">
      <c r="B296" s="10">
        <f t="shared" si="71"/>
        <v>44123</v>
      </c>
      <c r="C296" s="8">
        <f>SUMIF(Fluxo_Diário!$B$9:$B$1048576,Fluxo_Diário_DB!B296,Fluxo_Diário!$C$9:$C$1048576)</f>
        <v>0</v>
      </c>
      <c r="D296" s="8">
        <f t="shared" si="72"/>
        <v>293750</v>
      </c>
      <c r="F296" s="43">
        <f t="shared" si="70"/>
        <v>44123</v>
      </c>
      <c r="G296" s="8">
        <f>SUMIF(Fluxo_Diário!$D$9:$D$1048576,Fluxo_Diário_DB!B296,Fluxo_Diário!$E$9:$E$1048576)</f>
        <v>0</v>
      </c>
      <c r="H296" s="8">
        <f t="shared" si="73"/>
        <v>293750</v>
      </c>
    </row>
    <row r="297" spans="2:8" x14ac:dyDescent="0.25">
      <c r="B297" s="10">
        <f t="shared" si="71"/>
        <v>44124</v>
      </c>
      <c r="C297" s="8">
        <f>SUMIF(Fluxo_Diário!$B$9:$B$1048576,Fluxo_Diário_DB!B297,Fluxo_Diário!$C$9:$C$1048576)</f>
        <v>0</v>
      </c>
      <c r="D297" s="8">
        <f t="shared" si="72"/>
        <v>293750</v>
      </c>
      <c r="F297" s="43">
        <f t="shared" si="70"/>
        <v>44124</v>
      </c>
      <c r="G297" s="8">
        <f>SUMIF(Fluxo_Diário!$D$9:$D$1048576,Fluxo_Diário_DB!B297,Fluxo_Diário!$E$9:$E$1048576)</f>
        <v>0</v>
      </c>
      <c r="H297" s="8">
        <f t="shared" si="73"/>
        <v>293750</v>
      </c>
    </row>
    <row r="298" spans="2:8" x14ac:dyDescent="0.25">
      <c r="B298" s="10">
        <f t="shared" si="71"/>
        <v>44125</v>
      </c>
      <c r="C298" s="8">
        <f>SUMIF(Fluxo_Diário!$B$9:$B$1048576,Fluxo_Diário_DB!B298,Fluxo_Diário!$C$9:$C$1048576)</f>
        <v>0</v>
      </c>
      <c r="D298" s="8">
        <f t="shared" si="72"/>
        <v>293750</v>
      </c>
      <c r="F298" s="43">
        <f t="shared" si="70"/>
        <v>44125</v>
      </c>
      <c r="G298" s="8">
        <f>SUMIF(Fluxo_Diário!$D$9:$D$1048576,Fluxo_Diário_DB!B298,Fluxo_Diário!$E$9:$E$1048576)</f>
        <v>0</v>
      </c>
      <c r="H298" s="8">
        <f t="shared" si="73"/>
        <v>293750</v>
      </c>
    </row>
    <row r="299" spans="2:8" x14ac:dyDescent="0.25">
      <c r="B299" s="10">
        <f t="shared" si="71"/>
        <v>44126</v>
      </c>
      <c r="C299" s="8">
        <f>SUMIF(Fluxo_Diário!$B$9:$B$1048576,Fluxo_Diário_DB!B299,Fluxo_Diário!$C$9:$C$1048576)</f>
        <v>0</v>
      </c>
      <c r="D299" s="8">
        <f t="shared" si="72"/>
        <v>293750</v>
      </c>
      <c r="F299" s="43">
        <f t="shared" si="70"/>
        <v>44126</v>
      </c>
      <c r="G299" s="8">
        <f>SUMIF(Fluxo_Diário!$D$9:$D$1048576,Fluxo_Diário_DB!B299,Fluxo_Diário!$E$9:$E$1048576)</f>
        <v>0</v>
      </c>
      <c r="H299" s="8">
        <f t="shared" si="73"/>
        <v>293750</v>
      </c>
    </row>
    <row r="300" spans="2:8" x14ac:dyDescent="0.25">
      <c r="B300" s="10">
        <f t="shared" si="71"/>
        <v>44127</v>
      </c>
      <c r="C300" s="8">
        <f>SUMIF(Fluxo_Diário!$B$9:$B$1048576,Fluxo_Diário_DB!B300,Fluxo_Diário!$C$9:$C$1048576)</f>
        <v>0</v>
      </c>
      <c r="D300" s="8">
        <f t="shared" si="72"/>
        <v>293750</v>
      </c>
      <c r="F300" s="43">
        <f t="shared" si="70"/>
        <v>44127</v>
      </c>
      <c r="G300" s="8">
        <f>SUMIF(Fluxo_Diário!$D$9:$D$1048576,Fluxo_Diário_DB!B300,Fluxo_Diário!$E$9:$E$1048576)</f>
        <v>0</v>
      </c>
      <c r="H300" s="8">
        <f t="shared" si="73"/>
        <v>293750</v>
      </c>
    </row>
    <row r="301" spans="2:8" x14ac:dyDescent="0.25">
      <c r="B301" s="10">
        <f t="shared" si="71"/>
        <v>44128</v>
      </c>
      <c r="C301" s="8">
        <f>SUMIF(Fluxo_Diário!$B$9:$B$1048576,Fluxo_Diário_DB!B301,Fluxo_Diário!$C$9:$C$1048576)</f>
        <v>0</v>
      </c>
      <c r="D301" s="8">
        <f t="shared" si="72"/>
        <v>293750</v>
      </c>
      <c r="F301" s="43">
        <f t="shared" si="70"/>
        <v>44128</v>
      </c>
      <c r="G301" s="8">
        <f>SUMIF(Fluxo_Diário!$D$9:$D$1048576,Fluxo_Diário_DB!B301,Fluxo_Diário!$E$9:$E$1048576)</f>
        <v>0</v>
      </c>
      <c r="H301" s="8">
        <f t="shared" si="73"/>
        <v>293750</v>
      </c>
    </row>
    <row r="302" spans="2:8" x14ac:dyDescent="0.25">
      <c r="B302" s="10">
        <f t="shared" si="71"/>
        <v>44129</v>
      </c>
      <c r="C302" s="8">
        <f>SUMIF(Fluxo_Diário!$B$9:$B$1048576,Fluxo_Diário_DB!B302,Fluxo_Diário!$C$9:$C$1048576)</f>
        <v>0</v>
      </c>
      <c r="D302" s="8">
        <f t="shared" si="72"/>
        <v>293750</v>
      </c>
      <c r="F302" s="43">
        <f t="shared" si="70"/>
        <v>44129</v>
      </c>
      <c r="G302" s="8">
        <f>SUMIF(Fluxo_Diário!$D$9:$D$1048576,Fluxo_Diário_DB!B302,Fluxo_Diário!$E$9:$E$1048576)</f>
        <v>0</v>
      </c>
      <c r="H302" s="8">
        <f t="shared" si="73"/>
        <v>293750</v>
      </c>
    </row>
    <row r="303" spans="2:8" x14ac:dyDescent="0.25">
      <c r="B303" s="10">
        <f t="shared" si="71"/>
        <v>44130</v>
      </c>
      <c r="C303" s="8">
        <f>SUMIF(Fluxo_Diário!$B$9:$B$1048576,Fluxo_Diário_DB!B303,Fluxo_Diário!$C$9:$C$1048576)</f>
        <v>0</v>
      </c>
      <c r="D303" s="8">
        <f t="shared" si="72"/>
        <v>293750</v>
      </c>
      <c r="F303" s="43">
        <f t="shared" si="70"/>
        <v>44130</v>
      </c>
      <c r="G303" s="8">
        <f>SUMIF(Fluxo_Diário!$D$9:$D$1048576,Fluxo_Diário_DB!B303,Fluxo_Diário!$E$9:$E$1048576)</f>
        <v>0</v>
      </c>
      <c r="H303" s="8">
        <f t="shared" si="73"/>
        <v>293750</v>
      </c>
    </row>
    <row r="304" spans="2:8" x14ac:dyDescent="0.25">
      <c r="B304" s="10">
        <f t="shared" si="71"/>
        <v>44131</v>
      </c>
      <c r="C304" s="8">
        <f>SUMIF(Fluxo_Diário!$B$9:$B$1048576,Fluxo_Diário_DB!B304,Fluxo_Diário!$C$9:$C$1048576)</f>
        <v>0</v>
      </c>
      <c r="D304" s="8">
        <f t="shared" si="72"/>
        <v>293750</v>
      </c>
      <c r="F304" s="43">
        <f t="shared" si="70"/>
        <v>44131</v>
      </c>
      <c r="G304" s="8">
        <f>SUMIF(Fluxo_Diário!$D$9:$D$1048576,Fluxo_Diário_DB!B304,Fluxo_Diário!$E$9:$E$1048576)</f>
        <v>0</v>
      </c>
      <c r="H304" s="8">
        <f t="shared" si="73"/>
        <v>293750</v>
      </c>
    </row>
    <row r="305" spans="2:8" x14ac:dyDescent="0.25">
      <c r="B305" s="10">
        <f t="shared" si="71"/>
        <v>44132</v>
      </c>
      <c r="C305" s="8">
        <f>SUMIF(Fluxo_Diário!$B$9:$B$1048576,Fluxo_Diário_DB!B305,Fluxo_Diário!$C$9:$C$1048576)</f>
        <v>0</v>
      </c>
      <c r="D305" s="8">
        <f t="shared" si="72"/>
        <v>293750</v>
      </c>
      <c r="F305" s="43">
        <f t="shared" si="70"/>
        <v>44132</v>
      </c>
      <c r="G305" s="8">
        <f>SUMIF(Fluxo_Diário!$D$9:$D$1048576,Fluxo_Diário_DB!B305,Fluxo_Diário!$E$9:$E$1048576)</f>
        <v>0</v>
      </c>
      <c r="H305" s="8">
        <f t="shared" si="73"/>
        <v>293750</v>
      </c>
    </row>
    <row r="306" spans="2:8" x14ac:dyDescent="0.25">
      <c r="B306" s="10">
        <f t="shared" si="71"/>
        <v>44133</v>
      </c>
      <c r="C306" s="8">
        <f>SUMIF(Fluxo_Diário!$B$9:$B$1048576,Fluxo_Diário_DB!B306,Fluxo_Diário!$C$9:$C$1048576)</f>
        <v>0</v>
      </c>
      <c r="D306" s="8">
        <f t="shared" si="72"/>
        <v>293750</v>
      </c>
      <c r="F306" s="43">
        <f t="shared" si="70"/>
        <v>44133</v>
      </c>
      <c r="G306" s="8">
        <f>SUMIF(Fluxo_Diário!$D$9:$D$1048576,Fluxo_Diário_DB!B306,Fluxo_Diário!$E$9:$E$1048576)</f>
        <v>0</v>
      </c>
      <c r="H306" s="8">
        <f t="shared" si="73"/>
        <v>293750</v>
      </c>
    </row>
    <row r="307" spans="2:8" x14ac:dyDescent="0.25">
      <c r="B307" s="10">
        <f t="shared" si="71"/>
        <v>44134</v>
      </c>
      <c r="C307" s="8">
        <f>SUMIF(Fluxo_Diário!$B$9:$B$1048576,Fluxo_Diário_DB!B307,Fluxo_Diário!$C$9:$C$1048576)</f>
        <v>0</v>
      </c>
      <c r="D307" s="8">
        <f t="shared" si="72"/>
        <v>293750</v>
      </c>
      <c r="F307" s="43">
        <f t="shared" si="70"/>
        <v>44134</v>
      </c>
      <c r="G307" s="8">
        <f>SUMIF(Fluxo_Diário!$D$9:$D$1048576,Fluxo_Diário_DB!B307,Fluxo_Diário!$E$9:$E$1048576)</f>
        <v>0</v>
      </c>
      <c r="H307" s="8">
        <f t="shared" si="73"/>
        <v>293750</v>
      </c>
    </row>
    <row r="308" spans="2:8" x14ac:dyDescent="0.25">
      <c r="B308" s="10">
        <f t="shared" si="71"/>
        <v>44135</v>
      </c>
      <c r="C308" s="8">
        <f>SUMIF(Fluxo_Diário!$B$9:$B$1048576,Fluxo_Diário_DB!B308,Fluxo_Diário!$C$9:$C$1048576)</f>
        <v>0</v>
      </c>
      <c r="D308" s="8">
        <f t="shared" si="72"/>
        <v>293750</v>
      </c>
      <c r="F308" s="43">
        <f t="shared" si="70"/>
        <v>44135</v>
      </c>
      <c r="G308" s="8">
        <f>SUMIF(Fluxo_Diário!$D$9:$D$1048576,Fluxo_Diário_DB!B308,Fluxo_Diário!$E$9:$E$1048576)</f>
        <v>0</v>
      </c>
      <c r="H308" s="8">
        <f t="shared" si="73"/>
        <v>293750</v>
      </c>
    </row>
    <row r="309" spans="2:8" x14ac:dyDescent="0.25">
      <c r="B309" s="10">
        <f t="shared" si="71"/>
        <v>44136</v>
      </c>
      <c r="C309" s="8">
        <f>SUMIF(Fluxo_Diário!$B$9:$B$1048576,Fluxo_Diário_DB!B309,Fluxo_Diário!$C$9:$C$1048576)</f>
        <v>0</v>
      </c>
      <c r="D309" s="8">
        <f t="shared" si="72"/>
        <v>293750</v>
      </c>
      <c r="F309" s="43">
        <f t="shared" si="70"/>
        <v>44136</v>
      </c>
      <c r="G309" s="8">
        <f>SUMIF(Fluxo_Diário!$D$9:$D$1048576,Fluxo_Diário_DB!B309,Fluxo_Diário!$E$9:$E$1048576)</f>
        <v>0</v>
      </c>
      <c r="H309" s="8">
        <f t="shared" si="73"/>
        <v>293750</v>
      </c>
    </row>
    <row r="310" spans="2:8" x14ac:dyDescent="0.25">
      <c r="B310" s="10">
        <f t="shared" si="71"/>
        <v>44137</v>
      </c>
      <c r="C310" s="8">
        <f>SUMIF(Fluxo_Diário!$B$9:$B$1048576,Fluxo_Diário_DB!B310,Fluxo_Diário!$C$9:$C$1048576)</f>
        <v>0</v>
      </c>
      <c r="D310" s="8">
        <f t="shared" si="72"/>
        <v>293750</v>
      </c>
      <c r="F310" s="43">
        <f t="shared" si="70"/>
        <v>44137</v>
      </c>
      <c r="G310" s="8">
        <f>SUMIF(Fluxo_Diário!$D$9:$D$1048576,Fluxo_Diário_DB!B310,Fluxo_Diário!$E$9:$E$1048576)</f>
        <v>0</v>
      </c>
      <c r="H310" s="8">
        <f t="shared" si="73"/>
        <v>293750</v>
      </c>
    </row>
    <row r="311" spans="2:8" x14ac:dyDescent="0.25">
      <c r="B311" s="10">
        <f t="shared" si="71"/>
        <v>44138</v>
      </c>
      <c r="C311" s="8">
        <f>SUMIF(Fluxo_Diário!$B$9:$B$1048576,Fluxo_Diário_DB!B311,Fluxo_Diário!$C$9:$C$1048576)</f>
        <v>0</v>
      </c>
      <c r="D311" s="8">
        <f t="shared" si="72"/>
        <v>293750</v>
      </c>
      <c r="F311" s="43">
        <f t="shared" si="70"/>
        <v>44138</v>
      </c>
      <c r="G311" s="8">
        <f>SUMIF(Fluxo_Diário!$D$9:$D$1048576,Fluxo_Diário_DB!B311,Fluxo_Diário!$E$9:$E$1048576)</f>
        <v>0</v>
      </c>
      <c r="H311" s="8">
        <f t="shared" si="73"/>
        <v>293750</v>
      </c>
    </row>
    <row r="312" spans="2:8" x14ac:dyDescent="0.25">
      <c r="B312" s="10">
        <f t="shared" si="71"/>
        <v>44139</v>
      </c>
      <c r="C312" s="8">
        <f>SUMIF(Fluxo_Diário!$B$9:$B$1048576,Fluxo_Diário_DB!B312,Fluxo_Diário!$C$9:$C$1048576)</f>
        <v>0</v>
      </c>
      <c r="D312" s="8">
        <f t="shared" si="72"/>
        <v>293750</v>
      </c>
      <c r="F312" s="43">
        <f t="shared" si="70"/>
        <v>44139</v>
      </c>
      <c r="G312" s="8">
        <f>SUMIF(Fluxo_Diário!$D$9:$D$1048576,Fluxo_Diário_DB!B312,Fluxo_Diário!$E$9:$E$1048576)</f>
        <v>0</v>
      </c>
      <c r="H312" s="8">
        <f t="shared" si="73"/>
        <v>293750</v>
      </c>
    </row>
    <row r="313" spans="2:8" x14ac:dyDescent="0.25">
      <c r="B313" s="10">
        <f t="shared" si="71"/>
        <v>44140</v>
      </c>
      <c r="C313" s="8">
        <f>SUMIF(Fluxo_Diário!$B$9:$B$1048576,Fluxo_Diário_DB!B313,Fluxo_Diário!$C$9:$C$1048576)</f>
        <v>0</v>
      </c>
      <c r="D313" s="8">
        <f t="shared" si="72"/>
        <v>293750</v>
      </c>
      <c r="F313" s="43">
        <f t="shared" si="70"/>
        <v>44140</v>
      </c>
      <c r="G313" s="8">
        <f>SUMIF(Fluxo_Diário!$D$9:$D$1048576,Fluxo_Diário_DB!B313,Fluxo_Diário!$E$9:$E$1048576)</f>
        <v>0</v>
      </c>
      <c r="H313" s="8">
        <f t="shared" si="73"/>
        <v>293750</v>
      </c>
    </row>
    <row r="314" spans="2:8" x14ac:dyDescent="0.25">
      <c r="B314" s="10">
        <f t="shared" si="71"/>
        <v>44141</v>
      </c>
      <c r="C314" s="8">
        <f>SUMIF(Fluxo_Diário!$B$9:$B$1048576,Fluxo_Diário_DB!B314,Fluxo_Diário!$C$9:$C$1048576)</f>
        <v>0</v>
      </c>
      <c r="D314" s="8">
        <f t="shared" si="72"/>
        <v>293750</v>
      </c>
      <c r="F314" s="43">
        <f t="shared" si="70"/>
        <v>44141</v>
      </c>
      <c r="G314" s="8">
        <f>SUMIF(Fluxo_Diário!$D$9:$D$1048576,Fluxo_Diário_DB!B314,Fluxo_Diário!$E$9:$E$1048576)</f>
        <v>0</v>
      </c>
      <c r="H314" s="8">
        <f t="shared" si="73"/>
        <v>293750</v>
      </c>
    </row>
    <row r="315" spans="2:8" x14ac:dyDescent="0.25">
      <c r="B315" s="10">
        <f t="shared" si="71"/>
        <v>44142</v>
      </c>
      <c r="C315" s="8">
        <f>SUMIF(Fluxo_Diário!$B$9:$B$1048576,Fluxo_Diário_DB!B315,Fluxo_Diário!$C$9:$C$1048576)</f>
        <v>0</v>
      </c>
      <c r="D315" s="8">
        <f t="shared" si="72"/>
        <v>293750</v>
      </c>
      <c r="F315" s="43">
        <f t="shared" si="70"/>
        <v>44142</v>
      </c>
      <c r="G315" s="8">
        <f>SUMIF(Fluxo_Diário!$D$9:$D$1048576,Fluxo_Diário_DB!B315,Fluxo_Diário!$E$9:$E$1048576)</f>
        <v>0</v>
      </c>
      <c r="H315" s="8">
        <f t="shared" si="73"/>
        <v>293750</v>
      </c>
    </row>
    <row r="316" spans="2:8" x14ac:dyDescent="0.25">
      <c r="B316" s="10">
        <f t="shared" si="71"/>
        <v>44143</v>
      </c>
      <c r="C316" s="8">
        <f>SUMIF(Fluxo_Diário!$B$9:$B$1048576,Fluxo_Diário_DB!B316,Fluxo_Diário!$C$9:$C$1048576)</f>
        <v>0</v>
      </c>
      <c r="D316" s="8">
        <f t="shared" si="72"/>
        <v>293750</v>
      </c>
      <c r="F316" s="43">
        <f t="shared" si="70"/>
        <v>44143</v>
      </c>
      <c r="G316" s="8">
        <f>SUMIF(Fluxo_Diário!$D$9:$D$1048576,Fluxo_Diário_DB!B316,Fluxo_Diário!$E$9:$E$1048576)</f>
        <v>0</v>
      </c>
      <c r="H316" s="8">
        <f t="shared" si="73"/>
        <v>293750</v>
      </c>
    </row>
    <row r="317" spans="2:8" x14ac:dyDescent="0.25">
      <c r="B317" s="10">
        <f t="shared" si="71"/>
        <v>44144</v>
      </c>
      <c r="C317" s="8">
        <f>SUMIF(Fluxo_Diário!$B$9:$B$1048576,Fluxo_Diário_DB!B317,Fluxo_Diário!$C$9:$C$1048576)</f>
        <v>0</v>
      </c>
      <c r="D317" s="8">
        <f t="shared" si="72"/>
        <v>293750</v>
      </c>
      <c r="F317" s="43">
        <f t="shared" si="70"/>
        <v>44144</v>
      </c>
      <c r="G317" s="8">
        <f>SUMIF(Fluxo_Diário!$D$9:$D$1048576,Fluxo_Diário_DB!B317,Fluxo_Diário!$E$9:$E$1048576)</f>
        <v>0</v>
      </c>
      <c r="H317" s="8">
        <f t="shared" si="73"/>
        <v>293750</v>
      </c>
    </row>
    <row r="318" spans="2:8" x14ac:dyDescent="0.25">
      <c r="B318" s="10">
        <f t="shared" si="71"/>
        <v>44145</v>
      </c>
      <c r="C318" s="8">
        <f>SUMIF(Fluxo_Diário!$B$9:$B$1048576,Fluxo_Diário_DB!B318,Fluxo_Diário!$C$9:$C$1048576)</f>
        <v>0</v>
      </c>
      <c r="D318" s="8">
        <f t="shared" si="72"/>
        <v>293750</v>
      </c>
      <c r="F318" s="43">
        <f t="shared" si="70"/>
        <v>44145</v>
      </c>
      <c r="G318" s="8">
        <f>SUMIF(Fluxo_Diário!$D$9:$D$1048576,Fluxo_Diário_DB!B318,Fluxo_Diário!$E$9:$E$1048576)</f>
        <v>0</v>
      </c>
      <c r="H318" s="8">
        <f t="shared" si="73"/>
        <v>293750</v>
      </c>
    </row>
    <row r="319" spans="2:8" x14ac:dyDescent="0.25">
      <c r="B319" s="10">
        <f t="shared" si="71"/>
        <v>44146</v>
      </c>
      <c r="C319" s="8">
        <f>SUMIF(Fluxo_Diário!$B$9:$B$1048576,Fluxo_Diário_DB!B319,Fluxo_Diário!$C$9:$C$1048576)</f>
        <v>0</v>
      </c>
      <c r="D319" s="8">
        <f t="shared" si="72"/>
        <v>293750</v>
      </c>
      <c r="F319" s="43">
        <f t="shared" si="70"/>
        <v>44146</v>
      </c>
      <c r="G319" s="8">
        <f>SUMIF(Fluxo_Diário!$D$9:$D$1048576,Fluxo_Diário_DB!B319,Fluxo_Diário!$E$9:$E$1048576)</f>
        <v>0</v>
      </c>
      <c r="H319" s="8">
        <f t="shared" si="73"/>
        <v>293750</v>
      </c>
    </row>
    <row r="320" spans="2:8" x14ac:dyDescent="0.25">
      <c r="B320" s="10">
        <f t="shared" si="71"/>
        <v>44147</v>
      </c>
      <c r="C320" s="8">
        <f>SUMIF(Fluxo_Diário!$B$9:$B$1048576,Fluxo_Diário_DB!B320,Fluxo_Diário!$C$9:$C$1048576)</f>
        <v>0</v>
      </c>
      <c r="D320" s="8">
        <f t="shared" si="72"/>
        <v>293750</v>
      </c>
      <c r="F320" s="43">
        <f t="shared" si="70"/>
        <v>44147</v>
      </c>
      <c r="G320" s="8">
        <f>SUMIF(Fluxo_Diário!$D$9:$D$1048576,Fluxo_Diário_DB!B320,Fluxo_Diário!$E$9:$E$1048576)</f>
        <v>0</v>
      </c>
      <c r="H320" s="8">
        <f t="shared" si="73"/>
        <v>293750</v>
      </c>
    </row>
    <row r="321" spans="2:8" x14ac:dyDescent="0.25">
      <c r="B321" s="10">
        <f t="shared" si="71"/>
        <v>44148</v>
      </c>
      <c r="C321" s="8">
        <f>SUMIF(Fluxo_Diário!$B$9:$B$1048576,Fluxo_Diário_DB!B321,Fluxo_Diário!$C$9:$C$1048576)</f>
        <v>0</v>
      </c>
      <c r="D321" s="8">
        <f t="shared" si="72"/>
        <v>293750</v>
      </c>
      <c r="F321" s="43">
        <f t="shared" si="70"/>
        <v>44148</v>
      </c>
      <c r="G321" s="8">
        <f>SUMIF(Fluxo_Diário!$D$9:$D$1048576,Fluxo_Diário_DB!B321,Fluxo_Diário!$E$9:$E$1048576)</f>
        <v>0</v>
      </c>
      <c r="H321" s="8">
        <f t="shared" si="73"/>
        <v>293750</v>
      </c>
    </row>
    <row r="322" spans="2:8" x14ac:dyDescent="0.25">
      <c r="B322" s="10">
        <f t="shared" si="71"/>
        <v>44149</v>
      </c>
      <c r="C322" s="8">
        <f>SUMIF(Fluxo_Diário!$B$9:$B$1048576,Fluxo_Diário_DB!B322,Fluxo_Diário!$C$9:$C$1048576)</f>
        <v>0</v>
      </c>
      <c r="D322" s="8">
        <f t="shared" si="72"/>
        <v>293750</v>
      </c>
      <c r="F322" s="43">
        <f t="shared" si="70"/>
        <v>44149</v>
      </c>
      <c r="G322" s="8">
        <f>SUMIF(Fluxo_Diário!$D$9:$D$1048576,Fluxo_Diário_DB!B322,Fluxo_Diário!$E$9:$E$1048576)</f>
        <v>0</v>
      </c>
      <c r="H322" s="8">
        <f t="shared" si="73"/>
        <v>293750</v>
      </c>
    </row>
    <row r="323" spans="2:8" x14ac:dyDescent="0.25">
      <c r="B323" s="10">
        <f t="shared" si="71"/>
        <v>44150</v>
      </c>
      <c r="C323" s="8">
        <f>SUMIF(Fluxo_Diário!$B$9:$B$1048576,Fluxo_Diário_DB!B323,Fluxo_Diário!$C$9:$C$1048576)</f>
        <v>0</v>
      </c>
      <c r="D323" s="8">
        <f t="shared" si="72"/>
        <v>293750</v>
      </c>
      <c r="F323" s="43">
        <f t="shared" si="70"/>
        <v>44150</v>
      </c>
      <c r="G323" s="8">
        <f>SUMIF(Fluxo_Diário!$D$9:$D$1048576,Fluxo_Diário_DB!B323,Fluxo_Diário!$E$9:$E$1048576)</f>
        <v>0</v>
      </c>
      <c r="H323" s="8">
        <f t="shared" si="73"/>
        <v>293750</v>
      </c>
    </row>
    <row r="324" spans="2:8" x14ac:dyDescent="0.25">
      <c r="B324" s="10">
        <f t="shared" si="71"/>
        <v>44151</v>
      </c>
      <c r="C324" s="8">
        <f>SUMIF(Fluxo_Diário!$B$9:$B$1048576,Fluxo_Diário_DB!B324,Fluxo_Diário!$C$9:$C$1048576)</f>
        <v>0</v>
      </c>
      <c r="D324" s="8">
        <f t="shared" si="72"/>
        <v>293750</v>
      </c>
      <c r="F324" s="43">
        <f t="shared" ref="F324:F369" si="74">B324</f>
        <v>44151</v>
      </c>
      <c r="G324" s="8">
        <f>SUMIF(Fluxo_Diário!$D$9:$D$1048576,Fluxo_Diário_DB!B324,Fluxo_Diário!$E$9:$E$1048576)</f>
        <v>0</v>
      </c>
      <c r="H324" s="8">
        <f t="shared" si="73"/>
        <v>293750</v>
      </c>
    </row>
    <row r="325" spans="2:8" x14ac:dyDescent="0.25">
      <c r="B325" s="10">
        <f t="shared" ref="B325:B369" si="75">B324+1</f>
        <v>44152</v>
      </c>
      <c r="C325" s="8">
        <f>SUMIF(Fluxo_Diário!$B$9:$B$1048576,Fluxo_Diário_DB!B325,Fluxo_Diário!$C$9:$C$1048576)</f>
        <v>0</v>
      </c>
      <c r="D325" s="8">
        <f t="shared" ref="D325:D369" si="76">C325+D324</f>
        <v>293750</v>
      </c>
      <c r="F325" s="43">
        <f t="shared" si="74"/>
        <v>44152</v>
      </c>
      <c r="G325" s="8">
        <f>SUMIF(Fluxo_Diário!$D$9:$D$1048576,Fluxo_Diário_DB!B325,Fluxo_Diário!$E$9:$E$1048576)</f>
        <v>0</v>
      </c>
      <c r="H325" s="8">
        <f t="shared" ref="H325:H369" si="77">G325+H324</f>
        <v>293750</v>
      </c>
    </row>
    <row r="326" spans="2:8" x14ac:dyDescent="0.25">
      <c r="B326" s="10">
        <f t="shared" si="75"/>
        <v>44153</v>
      </c>
      <c r="C326" s="8">
        <f>SUMIF(Fluxo_Diário!$B$9:$B$1048576,Fluxo_Diário_DB!B326,Fluxo_Diário!$C$9:$C$1048576)</f>
        <v>0</v>
      </c>
      <c r="D326" s="8">
        <f t="shared" si="76"/>
        <v>293750</v>
      </c>
      <c r="F326" s="43">
        <f t="shared" si="74"/>
        <v>44153</v>
      </c>
      <c r="G326" s="8">
        <f>SUMIF(Fluxo_Diário!$D$9:$D$1048576,Fluxo_Diário_DB!B326,Fluxo_Diário!$E$9:$E$1048576)</f>
        <v>0</v>
      </c>
      <c r="H326" s="8">
        <f t="shared" si="77"/>
        <v>293750</v>
      </c>
    </row>
    <row r="327" spans="2:8" x14ac:dyDescent="0.25">
      <c r="B327" s="10">
        <f t="shared" si="75"/>
        <v>44154</v>
      </c>
      <c r="C327" s="8">
        <f>SUMIF(Fluxo_Diário!$B$9:$B$1048576,Fluxo_Diário_DB!B327,Fluxo_Diário!$C$9:$C$1048576)</f>
        <v>0</v>
      </c>
      <c r="D327" s="8">
        <f t="shared" si="76"/>
        <v>293750</v>
      </c>
      <c r="F327" s="43">
        <f t="shared" si="74"/>
        <v>44154</v>
      </c>
      <c r="G327" s="8">
        <f>SUMIF(Fluxo_Diário!$D$9:$D$1048576,Fluxo_Diário_DB!B327,Fluxo_Diário!$E$9:$E$1048576)</f>
        <v>0</v>
      </c>
      <c r="H327" s="8">
        <f t="shared" si="77"/>
        <v>293750</v>
      </c>
    </row>
    <row r="328" spans="2:8" x14ac:dyDescent="0.25">
      <c r="B328" s="10">
        <f t="shared" si="75"/>
        <v>44155</v>
      </c>
      <c r="C328" s="8">
        <f>SUMIF(Fluxo_Diário!$B$9:$B$1048576,Fluxo_Diário_DB!B328,Fluxo_Diário!$C$9:$C$1048576)</f>
        <v>0</v>
      </c>
      <c r="D328" s="8">
        <f t="shared" si="76"/>
        <v>293750</v>
      </c>
      <c r="F328" s="43">
        <f t="shared" si="74"/>
        <v>44155</v>
      </c>
      <c r="G328" s="8">
        <f>SUMIF(Fluxo_Diário!$D$9:$D$1048576,Fluxo_Diário_DB!B328,Fluxo_Diário!$E$9:$E$1048576)</f>
        <v>0</v>
      </c>
      <c r="H328" s="8">
        <f t="shared" si="77"/>
        <v>293750</v>
      </c>
    </row>
    <row r="329" spans="2:8" x14ac:dyDescent="0.25">
      <c r="B329" s="10">
        <f t="shared" si="75"/>
        <v>44156</v>
      </c>
      <c r="C329" s="8">
        <f>SUMIF(Fluxo_Diário!$B$9:$B$1048576,Fluxo_Diário_DB!B329,Fluxo_Diário!$C$9:$C$1048576)</f>
        <v>0</v>
      </c>
      <c r="D329" s="8">
        <f t="shared" si="76"/>
        <v>293750</v>
      </c>
      <c r="F329" s="43">
        <f t="shared" si="74"/>
        <v>44156</v>
      </c>
      <c r="G329" s="8">
        <f>SUMIF(Fluxo_Diário!$D$9:$D$1048576,Fluxo_Diário_DB!B329,Fluxo_Diário!$E$9:$E$1048576)</f>
        <v>0</v>
      </c>
      <c r="H329" s="8">
        <f t="shared" si="77"/>
        <v>293750</v>
      </c>
    </row>
    <row r="330" spans="2:8" x14ac:dyDescent="0.25">
      <c r="B330" s="10">
        <f t="shared" si="75"/>
        <v>44157</v>
      </c>
      <c r="C330" s="8">
        <f>SUMIF(Fluxo_Diário!$B$9:$B$1048576,Fluxo_Diário_DB!B330,Fluxo_Diário!$C$9:$C$1048576)</f>
        <v>0</v>
      </c>
      <c r="D330" s="8">
        <f t="shared" si="76"/>
        <v>293750</v>
      </c>
      <c r="F330" s="43">
        <f t="shared" si="74"/>
        <v>44157</v>
      </c>
      <c r="G330" s="8">
        <f>SUMIF(Fluxo_Diário!$D$9:$D$1048576,Fluxo_Diário_DB!B330,Fluxo_Diário!$E$9:$E$1048576)</f>
        <v>0</v>
      </c>
      <c r="H330" s="8">
        <f t="shared" si="77"/>
        <v>293750</v>
      </c>
    </row>
    <row r="331" spans="2:8" x14ac:dyDescent="0.25">
      <c r="B331" s="10">
        <f t="shared" si="75"/>
        <v>44158</v>
      </c>
      <c r="C331" s="8">
        <f>SUMIF(Fluxo_Diário!$B$9:$B$1048576,Fluxo_Diário_DB!B331,Fluxo_Diário!$C$9:$C$1048576)</f>
        <v>0</v>
      </c>
      <c r="D331" s="8">
        <f t="shared" si="76"/>
        <v>293750</v>
      </c>
      <c r="F331" s="43">
        <f t="shared" si="74"/>
        <v>44158</v>
      </c>
      <c r="G331" s="8">
        <f>SUMIF(Fluxo_Diário!$D$9:$D$1048576,Fluxo_Diário_DB!B331,Fluxo_Diário!$E$9:$E$1048576)</f>
        <v>0</v>
      </c>
      <c r="H331" s="8">
        <f t="shared" si="77"/>
        <v>293750</v>
      </c>
    </row>
    <row r="332" spans="2:8" x14ac:dyDescent="0.25">
      <c r="B332" s="10">
        <f t="shared" si="75"/>
        <v>44159</v>
      </c>
      <c r="C332" s="8">
        <f>SUMIF(Fluxo_Diário!$B$9:$B$1048576,Fluxo_Diário_DB!B332,Fluxo_Diário!$C$9:$C$1048576)</f>
        <v>0</v>
      </c>
      <c r="D332" s="8">
        <f t="shared" si="76"/>
        <v>293750</v>
      </c>
      <c r="F332" s="43">
        <f t="shared" si="74"/>
        <v>44159</v>
      </c>
      <c r="G332" s="8">
        <f>SUMIF(Fluxo_Diário!$D$9:$D$1048576,Fluxo_Diário_DB!B332,Fluxo_Diário!$E$9:$E$1048576)</f>
        <v>0</v>
      </c>
      <c r="H332" s="8">
        <f t="shared" si="77"/>
        <v>293750</v>
      </c>
    </row>
    <row r="333" spans="2:8" x14ac:dyDescent="0.25">
      <c r="B333" s="10">
        <f t="shared" si="75"/>
        <v>44160</v>
      </c>
      <c r="C333" s="8">
        <f>SUMIF(Fluxo_Diário!$B$9:$B$1048576,Fluxo_Diário_DB!B333,Fluxo_Diário!$C$9:$C$1048576)</f>
        <v>0</v>
      </c>
      <c r="D333" s="8">
        <f t="shared" si="76"/>
        <v>293750</v>
      </c>
      <c r="F333" s="43">
        <f t="shared" si="74"/>
        <v>44160</v>
      </c>
      <c r="G333" s="8">
        <f>SUMIF(Fluxo_Diário!$D$9:$D$1048576,Fluxo_Diário_DB!B333,Fluxo_Diário!$E$9:$E$1048576)</f>
        <v>0</v>
      </c>
      <c r="H333" s="8">
        <f t="shared" si="77"/>
        <v>293750</v>
      </c>
    </row>
    <row r="334" spans="2:8" x14ac:dyDescent="0.25">
      <c r="B334" s="10">
        <f t="shared" si="75"/>
        <v>44161</v>
      </c>
      <c r="C334" s="8">
        <f>SUMIF(Fluxo_Diário!$B$9:$B$1048576,Fluxo_Diário_DB!B334,Fluxo_Diário!$C$9:$C$1048576)</f>
        <v>0</v>
      </c>
      <c r="D334" s="8">
        <f t="shared" si="76"/>
        <v>293750</v>
      </c>
      <c r="F334" s="43">
        <f t="shared" si="74"/>
        <v>44161</v>
      </c>
      <c r="G334" s="8">
        <f>SUMIF(Fluxo_Diário!$D$9:$D$1048576,Fluxo_Diário_DB!B334,Fluxo_Diário!$E$9:$E$1048576)</f>
        <v>0</v>
      </c>
      <c r="H334" s="8">
        <f t="shared" si="77"/>
        <v>293750</v>
      </c>
    </row>
    <row r="335" spans="2:8" x14ac:dyDescent="0.25">
      <c r="B335" s="10">
        <f t="shared" si="75"/>
        <v>44162</v>
      </c>
      <c r="C335" s="8">
        <f>SUMIF(Fluxo_Diário!$B$9:$B$1048576,Fluxo_Diário_DB!B335,Fluxo_Diário!$C$9:$C$1048576)</f>
        <v>0</v>
      </c>
      <c r="D335" s="8">
        <f t="shared" si="76"/>
        <v>293750</v>
      </c>
      <c r="F335" s="43">
        <f t="shared" si="74"/>
        <v>44162</v>
      </c>
      <c r="G335" s="8">
        <f>SUMIF(Fluxo_Diário!$D$9:$D$1048576,Fluxo_Diário_DB!B335,Fluxo_Diário!$E$9:$E$1048576)</f>
        <v>0</v>
      </c>
      <c r="H335" s="8">
        <f t="shared" si="77"/>
        <v>293750</v>
      </c>
    </row>
    <row r="336" spans="2:8" x14ac:dyDescent="0.25">
      <c r="B336" s="10">
        <f t="shared" si="75"/>
        <v>44163</v>
      </c>
      <c r="C336" s="8">
        <f>SUMIF(Fluxo_Diário!$B$9:$B$1048576,Fluxo_Diário_DB!B336,Fluxo_Diário!$C$9:$C$1048576)</f>
        <v>0</v>
      </c>
      <c r="D336" s="8">
        <f t="shared" si="76"/>
        <v>293750</v>
      </c>
      <c r="F336" s="43">
        <f t="shared" si="74"/>
        <v>44163</v>
      </c>
      <c r="G336" s="8">
        <f>SUMIF(Fluxo_Diário!$D$9:$D$1048576,Fluxo_Diário_DB!B336,Fluxo_Diário!$E$9:$E$1048576)</f>
        <v>0</v>
      </c>
      <c r="H336" s="8">
        <f t="shared" si="77"/>
        <v>293750</v>
      </c>
    </row>
    <row r="337" spans="2:8" x14ac:dyDescent="0.25">
      <c r="B337" s="10">
        <f t="shared" si="75"/>
        <v>44164</v>
      </c>
      <c r="C337" s="8">
        <f>SUMIF(Fluxo_Diário!$B$9:$B$1048576,Fluxo_Diário_DB!B337,Fluxo_Diário!$C$9:$C$1048576)</f>
        <v>0</v>
      </c>
      <c r="D337" s="8">
        <f t="shared" si="76"/>
        <v>293750</v>
      </c>
      <c r="F337" s="43">
        <f t="shared" si="74"/>
        <v>44164</v>
      </c>
      <c r="G337" s="8">
        <f>SUMIF(Fluxo_Diário!$D$9:$D$1048576,Fluxo_Diário_DB!B337,Fluxo_Diário!$E$9:$E$1048576)</f>
        <v>0</v>
      </c>
      <c r="H337" s="8">
        <f t="shared" si="77"/>
        <v>293750</v>
      </c>
    </row>
    <row r="338" spans="2:8" x14ac:dyDescent="0.25">
      <c r="B338" s="10">
        <f t="shared" si="75"/>
        <v>44165</v>
      </c>
      <c r="C338" s="8">
        <f>SUMIF(Fluxo_Diário!$B$9:$B$1048576,Fluxo_Diário_DB!B338,Fluxo_Diário!$C$9:$C$1048576)</f>
        <v>0</v>
      </c>
      <c r="D338" s="8">
        <f t="shared" si="76"/>
        <v>293750</v>
      </c>
      <c r="F338" s="43">
        <f t="shared" si="74"/>
        <v>44165</v>
      </c>
      <c r="G338" s="8">
        <f>SUMIF(Fluxo_Diário!$D$9:$D$1048576,Fluxo_Diário_DB!B338,Fluxo_Diário!$E$9:$E$1048576)</f>
        <v>0</v>
      </c>
      <c r="H338" s="8">
        <f t="shared" si="77"/>
        <v>293750</v>
      </c>
    </row>
    <row r="339" spans="2:8" x14ac:dyDescent="0.25">
      <c r="B339" s="10">
        <f t="shared" si="75"/>
        <v>44166</v>
      </c>
      <c r="C339" s="8">
        <f>SUMIF(Fluxo_Diário!$B$9:$B$1048576,Fluxo_Diário_DB!B339,Fluxo_Diário!$C$9:$C$1048576)</f>
        <v>0</v>
      </c>
      <c r="D339" s="8">
        <f t="shared" si="76"/>
        <v>293750</v>
      </c>
      <c r="F339" s="43">
        <f t="shared" si="74"/>
        <v>44166</v>
      </c>
      <c r="G339" s="8">
        <f>SUMIF(Fluxo_Diário!$D$9:$D$1048576,Fluxo_Diário_DB!B339,Fluxo_Diário!$E$9:$E$1048576)</f>
        <v>0</v>
      </c>
      <c r="H339" s="8">
        <f t="shared" si="77"/>
        <v>293750</v>
      </c>
    </row>
    <row r="340" spans="2:8" x14ac:dyDescent="0.25">
      <c r="B340" s="10">
        <f t="shared" si="75"/>
        <v>44167</v>
      </c>
      <c r="C340" s="8">
        <f>SUMIF(Fluxo_Diário!$B$9:$B$1048576,Fluxo_Diário_DB!B340,Fluxo_Diário!$C$9:$C$1048576)</f>
        <v>0</v>
      </c>
      <c r="D340" s="8">
        <f t="shared" si="76"/>
        <v>293750</v>
      </c>
      <c r="F340" s="43">
        <f t="shared" si="74"/>
        <v>44167</v>
      </c>
      <c r="G340" s="8">
        <f>SUMIF(Fluxo_Diário!$D$9:$D$1048576,Fluxo_Diário_DB!B340,Fluxo_Diário!$E$9:$E$1048576)</f>
        <v>0</v>
      </c>
      <c r="H340" s="8">
        <f t="shared" si="77"/>
        <v>293750</v>
      </c>
    </row>
    <row r="341" spans="2:8" x14ac:dyDescent="0.25">
      <c r="B341" s="10">
        <f t="shared" si="75"/>
        <v>44168</v>
      </c>
      <c r="C341" s="8">
        <f>SUMIF(Fluxo_Diário!$B$9:$B$1048576,Fluxo_Diário_DB!B341,Fluxo_Diário!$C$9:$C$1048576)</f>
        <v>0</v>
      </c>
      <c r="D341" s="8">
        <f t="shared" si="76"/>
        <v>293750</v>
      </c>
      <c r="F341" s="43">
        <f t="shared" si="74"/>
        <v>44168</v>
      </c>
      <c r="G341" s="8">
        <f>SUMIF(Fluxo_Diário!$D$9:$D$1048576,Fluxo_Diário_DB!B341,Fluxo_Diário!$E$9:$E$1048576)</f>
        <v>0</v>
      </c>
      <c r="H341" s="8">
        <f t="shared" si="77"/>
        <v>293750</v>
      </c>
    </row>
    <row r="342" spans="2:8" x14ac:dyDescent="0.25">
      <c r="B342" s="10">
        <f t="shared" si="75"/>
        <v>44169</v>
      </c>
      <c r="C342" s="8">
        <f>SUMIF(Fluxo_Diário!$B$9:$B$1048576,Fluxo_Diário_DB!B342,Fluxo_Diário!$C$9:$C$1048576)</f>
        <v>0</v>
      </c>
      <c r="D342" s="8">
        <f t="shared" si="76"/>
        <v>293750</v>
      </c>
      <c r="F342" s="43">
        <f t="shared" si="74"/>
        <v>44169</v>
      </c>
      <c r="G342" s="8">
        <f>SUMIF(Fluxo_Diário!$D$9:$D$1048576,Fluxo_Diário_DB!B342,Fluxo_Diário!$E$9:$E$1048576)</f>
        <v>0</v>
      </c>
      <c r="H342" s="8">
        <f t="shared" si="77"/>
        <v>293750</v>
      </c>
    </row>
    <row r="343" spans="2:8" x14ac:dyDescent="0.25">
      <c r="B343" s="10">
        <f t="shared" si="75"/>
        <v>44170</v>
      </c>
      <c r="C343" s="8">
        <f>SUMIF(Fluxo_Diário!$B$9:$B$1048576,Fluxo_Diário_DB!B343,Fluxo_Diário!$C$9:$C$1048576)</f>
        <v>0</v>
      </c>
      <c r="D343" s="8">
        <f t="shared" si="76"/>
        <v>293750</v>
      </c>
      <c r="F343" s="43">
        <f t="shared" si="74"/>
        <v>44170</v>
      </c>
      <c r="G343" s="8">
        <f>SUMIF(Fluxo_Diário!$D$9:$D$1048576,Fluxo_Diário_DB!B343,Fluxo_Diário!$E$9:$E$1048576)</f>
        <v>0</v>
      </c>
      <c r="H343" s="8">
        <f t="shared" si="77"/>
        <v>293750</v>
      </c>
    </row>
    <row r="344" spans="2:8" x14ac:dyDescent="0.25">
      <c r="B344" s="10">
        <f t="shared" si="75"/>
        <v>44171</v>
      </c>
      <c r="C344" s="8">
        <f>SUMIF(Fluxo_Diário!$B$9:$B$1048576,Fluxo_Diário_DB!B344,Fluxo_Diário!$C$9:$C$1048576)</f>
        <v>0</v>
      </c>
      <c r="D344" s="8">
        <f t="shared" si="76"/>
        <v>293750</v>
      </c>
      <c r="F344" s="43">
        <f t="shared" si="74"/>
        <v>44171</v>
      </c>
      <c r="G344" s="8">
        <f>SUMIF(Fluxo_Diário!$D$9:$D$1048576,Fluxo_Diário_DB!B344,Fluxo_Diário!$E$9:$E$1048576)</f>
        <v>0</v>
      </c>
      <c r="H344" s="8">
        <f t="shared" si="77"/>
        <v>293750</v>
      </c>
    </row>
    <row r="345" spans="2:8" x14ac:dyDescent="0.25">
      <c r="B345" s="10">
        <f t="shared" si="75"/>
        <v>44172</v>
      </c>
      <c r="C345" s="8">
        <f>SUMIF(Fluxo_Diário!$B$9:$B$1048576,Fluxo_Diário_DB!B345,Fluxo_Diário!$C$9:$C$1048576)</f>
        <v>0</v>
      </c>
      <c r="D345" s="8">
        <f t="shared" si="76"/>
        <v>293750</v>
      </c>
      <c r="F345" s="43">
        <f t="shared" si="74"/>
        <v>44172</v>
      </c>
      <c r="G345" s="8">
        <f>SUMIF(Fluxo_Diário!$D$9:$D$1048576,Fluxo_Diário_DB!B345,Fluxo_Diário!$E$9:$E$1048576)</f>
        <v>0</v>
      </c>
      <c r="H345" s="8">
        <f t="shared" si="77"/>
        <v>293750</v>
      </c>
    </row>
    <row r="346" spans="2:8" x14ac:dyDescent="0.25">
      <c r="B346" s="10">
        <f t="shared" si="75"/>
        <v>44173</v>
      </c>
      <c r="C346" s="8">
        <f>SUMIF(Fluxo_Diário!$B$9:$B$1048576,Fluxo_Diário_DB!B346,Fluxo_Diário!$C$9:$C$1048576)</f>
        <v>0</v>
      </c>
      <c r="D346" s="8">
        <f t="shared" si="76"/>
        <v>293750</v>
      </c>
      <c r="F346" s="43">
        <f t="shared" si="74"/>
        <v>44173</v>
      </c>
      <c r="G346" s="8">
        <f>SUMIF(Fluxo_Diário!$D$9:$D$1048576,Fluxo_Diário_DB!B346,Fluxo_Diário!$E$9:$E$1048576)</f>
        <v>0</v>
      </c>
      <c r="H346" s="8">
        <f t="shared" si="77"/>
        <v>293750</v>
      </c>
    </row>
    <row r="347" spans="2:8" x14ac:dyDescent="0.25">
      <c r="B347" s="10">
        <f t="shared" si="75"/>
        <v>44174</v>
      </c>
      <c r="C347" s="8">
        <f>SUMIF(Fluxo_Diário!$B$9:$B$1048576,Fluxo_Diário_DB!B347,Fluxo_Diário!$C$9:$C$1048576)</f>
        <v>0</v>
      </c>
      <c r="D347" s="8">
        <f t="shared" si="76"/>
        <v>293750</v>
      </c>
      <c r="F347" s="43">
        <f t="shared" si="74"/>
        <v>44174</v>
      </c>
      <c r="G347" s="8">
        <f>SUMIF(Fluxo_Diário!$D$9:$D$1048576,Fluxo_Diário_DB!B347,Fluxo_Diário!$E$9:$E$1048576)</f>
        <v>0</v>
      </c>
      <c r="H347" s="8">
        <f t="shared" si="77"/>
        <v>293750</v>
      </c>
    </row>
    <row r="348" spans="2:8" x14ac:dyDescent="0.25">
      <c r="B348" s="10">
        <f t="shared" si="75"/>
        <v>44175</v>
      </c>
      <c r="C348" s="8">
        <f>SUMIF(Fluxo_Diário!$B$9:$B$1048576,Fluxo_Diário_DB!B348,Fluxo_Diário!$C$9:$C$1048576)</f>
        <v>0</v>
      </c>
      <c r="D348" s="8">
        <f t="shared" si="76"/>
        <v>293750</v>
      </c>
      <c r="F348" s="43">
        <f t="shared" si="74"/>
        <v>44175</v>
      </c>
      <c r="G348" s="8">
        <f>SUMIF(Fluxo_Diário!$D$9:$D$1048576,Fluxo_Diário_DB!B348,Fluxo_Diário!$E$9:$E$1048576)</f>
        <v>0</v>
      </c>
      <c r="H348" s="8">
        <f t="shared" si="77"/>
        <v>293750</v>
      </c>
    </row>
    <row r="349" spans="2:8" x14ac:dyDescent="0.25">
      <c r="B349" s="10">
        <f t="shared" si="75"/>
        <v>44176</v>
      </c>
      <c r="C349" s="8">
        <f>SUMIF(Fluxo_Diário!$B$9:$B$1048576,Fluxo_Diário_DB!B349,Fluxo_Diário!$C$9:$C$1048576)</f>
        <v>0</v>
      </c>
      <c r="D349" s="8">
        <f t="shared" si="76"/>
        <v>293750</v>
      </c>
      <c r="F349" s="43">
        <f t="shared" si="74"/>
        <v>44176</v>
      </c>
      <c r="G349" s="8">
        <f>SUMIF(Fluxo_Diário!$D$9:$D$1048576,Fluxo_Diário_DB!B349,Fluxo_Diário!$E$9:$E$1048576)</f>
        <v>0</v>
      </c>
      <c r="H349" s="8">
        <f t="shared" si="77"/>
        <v>293750</v>
      </c>
    </row>
    <row r="350" spans="2:8" x14ac:dyDescent="0.25">
      <c r="B350" s="10">
        <f t="shared" si="75"/>
        <v>44177</v>
      </c>
      <c r="C350" s="8">
        <f>SUMIF(Fluxo_Diário!$B$9:$B$1048576,Fluxo_Diário_DB!B350,Fluxo_Diário!$C$9:$C$1048576)</f>
        <v>0</v>
      </c>
      <c r="D350" s="8">
        <f t="shared" si="76"/>
        <v>293750</v>
      </c>
      <c r="F350" s="43">
        <f t="shared" si="74"/>
        <v>44177</v>
      </c>
      <c r="G350" s="8">
        <f>SUMIF(Fluxo_Diário!$D$9:$D$1048576,Fluxo_Diário_DB!B350,Fluxo_Diário!$E$9:$E$1048576)</f>
        <v>0</v>
      </c>
      <c r="H350" s="8">
        <f t="shared" si="77"/>
        <v>293750</v>
      </c>
    </row>
    <row r="351" spans="2:8" x14ac:dyDescent="0.25">
      <c r="B351" s="10">
        <f t="shared" si="75"/>
        <v>44178</v>
      </c>
      <c r="C351" s="8">
        <f>SUMIF(Fluxo_Diário!$B$9:$B$1048576,Fluxo_Diário_DB!B351,Fluxo_Diário!$C$9:$C$1048576)</f>
        <v>0</v>
      </c>
      <c r="D351" s="8">
        <f t="shared" si="76"/>
        <v>293750</v>
      </c>
      <c r="F351" s="43">
        <f t="shared" si="74"/>
        <v>44178</v>
      </c>
      <c r="G351" s="8">
        <f>SUMIF(Fluxo_Diário!$D$9:$D$1048576,Fluxo_Diário_DB!B351,Fluxo_Diário!$E$9:$E$1048576)</f>
        <v>0</v>
      </c>
      <c r="H351" s="8">
        <f t="shared" si="77"/>
        <v>293750</v>
      </c>
    </row>
    <row r="352" spans="2:8" x14ac:dyDescent="0.25">
      <c r="B352" s="10">
        <f t="shared" si="75"/>
        <v>44179</v>
      </c>
      <c r="C352" s="8">
        <f>SUMIF(Fluxo_Diário!$B$9:$B$1048576,Fluxo_Diário_DB!B352,Fluxo_Diário!$C$9:$C$1048576)</f>
        <v>0</v>
      </c>
      <c r="D352" s="8">
        <f t="shared" si="76"/>
        <v>293750</v>
      </c>
      <c r="F352" s="43">
        <f t="shared" si="74"/>
        <v>44179</v>
      </c>
      <c r="G352" s="8">
        <f>SUMIF(Fluxo_Diário!$D$9:$D$1048576,Fluxo_Diário_DB!B352,Fluxo_Diário!$E$9:$E$1048576)</f>
        <v>0</v>
      </c>
      <c r="H352" s="8">
        <f t="shared" si="77"/>
        <v>293750</v>
      </c>
    </row>
    <row r="353" spans="2:8" x14ac:dyDescent="0.25">
      <c r="B353" s="10">
        <f t="shared" si="75"/>
        <v>44180</v>
      </c>
      <c r="C353" s="8">
        <f>SUMIF(Fluxo_Diário!$B$9:$B$1048576,Fluxo_Diário_DB!B353,Fluxo_Diário!$C$9:$C$1048576)</f>
        <v>0</v>
      </c>
      <c r="D353" s="8">
        <f t="shared" si="76"/>
        <v>293750</v>
      </c>
      <c r="F353" s="43">
        <f t="shared" si="74"/>
        <v>44180</v>
      </c>
      <c r="G353" s="8">
        <f>SUMIF(Fluxo_Diário!$D$9:$D$1048576,Fluxo_Diário_DB!B353,Fluxo_Diário!$E$9:$E$1048576)</f>
        <v>0</v>
      </c>
      <c r="H353" s="8">
        <f t="shared" si="77"/>
        <v>293750</v>
      </c>
    </row>
    <row r="354" spans="2:8" x14ac:dyDescent="0.25">
      <c r="B354" s="10">
        <f t="shared" si="75"/>
        <v>44181</v>
      </c>
      <c r="C354" s="8">
        <f>SUMIF(Fluxo_Diário!$B$9:$B$1048576,Fluxo_Diário_DB!B354,Fluxo_Diário!$C$9:$C$1048576)</f>
        <v>0</v>
      </c>
      <c r="D354" s="8">
        <f t="shared" si="76"/>
        <v>293750</v>
      </c>
      <c r="F354" s="43">
        <f t="shared" si="74"/>
        <v>44181</v>
      </c>
      <c r="G354" s="8">
        <f>SUMIF(Fluxo_Diário!$D$9:$D$1048576,Fluxo_Diário_DB!B354,Fluxo_Diário!$E$9:$E$1048576)</f>
        <v>0</v>
      </c>
      <c r="H354" s="8">
        <f t="shared" si="77"/>
        <v>293750</v>
      </c>
    </row>
    <row r="355" spans="2:8" x14ac:dyDescent="0.25">
      <c r="B355" s="10">
        <f t="shared" si="75"/>
        <v>44182</v>
      </c>
      <c r="C355" s="8">
        <f>SUMIF(Fluxo_Diário!$B$9:$B$1048576,Fluxo_Diário_DB!B355,Fluxo_Diário!$C$9:$C$1048576)</f>
        <v>0</v>
      </c>
      <c r="D355" s="8">
        <f t="shared" si="76"/>
        <v>293750</v>
      </c>
      <c r="F355" s="43">
        <f t="shared" si="74"/>
        <v>44182</v>
      </c>
      <c r="G355" s="8">
        <f>SUMIF(Fluxo_Diário!$D$9:$D$1048576,Fluxo_Diário_DB!B355,Fluxo_Diário!$E$9:$E$1048576)</f>
        <v>0</v>
      </c>
      <c r="H355" s="8">
        <f t="shared" si="77"/>
        <v>293750</v>
      </c>
    </row>
    <row r="356" spans="2:8" x14ac:dyDescent="0.25">
      <c r="B356" s="10">
        <f t="shared" si="75"/>
        <v>44183</v>
      </c>
      <c r="C356" s="8">
        <f>SUMIF(Fluxo_Diário!$B$9:$B$1048576,Fluxo_Diário_DB!B356,Fluxo_Diário!$C$9:$C$1048576)</f>
        <v>0</v>
      </c>
      <c r="D356" s="8">
        <f t="shared" si="76"/>
        <v>293750</v>
      </c>
      <c r="F356" s="43">
        <f t="shared" si="74"/>
        <v>44183</v>
      </c>
      <c r="G356" s="8">
        <f>SUMIF(Fluxo_Diário!$D$9:$D$1048576,Fluxo_Diário_DB!B356,Fluxo_Diário!$E$9:$E$1048576)</f>
        <v>0</v>
      </c>
      <c r="H356" s="8">
        <f t="shared" si="77"/>
        <v>293750</v>
      </c>
    </row>
    <row r="357" spans="2:8" x14ac:dyDescent="0.25">
      <c r="B357" s="10">
        <f t="shared" si="75"/>
        <v>44184</v>
      </c>
      <c r="C357" s="8">
        <f>SUMIF(Fluxo_Diário!$B$9:$B$1048576,Fluxo_Diário_DB!B357,Fluxo_Diário!$C$9:$C$1048576)</f>
        <v>0</v>
      </c>
      <c r="D357" s="8">
        <f t="shared" si="76"/>
        <v>293750</v>
      </c>
      <c r="F357" s="43">
        <f t="shared" si="74"/>
        <v>44184</v>
      </c>
      <c r="G357" s="8">
        <f>SUMIF(Fluxo_Diário!$D$9:$D$1048576,Fluxo_Diário_DB!B357,Fluxo_Diário!$E$9:$E$1048576)</f>
        <v>0</v>
      </c>
      <c r="H357" s="8">
        <f t="shared" si="77"/>
        <v>293750</v>
      </c>
    </row>
    <row r="358" spans="2:8" x14ac:dyDescent="0.25">
      <c r="B358" s="10">
        <f t="shared" si="75"/>
        <v>44185</v>
      </c>
      <c r="C358" s="8">
        <f>SUMIF(Fluxo_Diário!$B$9:$B$1048576,Fluxo_Diário_DB!B358,Fluxo_Diário!$C$9:$C$1048576)</f>
        <v>0</v>
      </c>
      <c r="D358" s="8">
        <f t="shared" si="76"/>
        <v>293750</v>
      </c>
      <c r="F358" s="43">
        <f t="shared" si="74"/>
        <v>44185</v>
      </c>
      <c r="G358" s="8">
        <f>SUMIF(Fluxo_Diário!$D$9:$D$1048576,Fluxo_Diário_DB!B358,Fluxo_Diário!$E$9:$E$1048576)</f>
        <v>0</v>
      </c>
      <c r="H358" s="8">
        <f t="shared" si="77"/>
        <v>293750</v>
      </c>
    </row>
    <row r="359" spans="2:8" x14ac:dyDescent="0.25">
      <c r="B359" s="10">
        <f t="shared" si="75"/>
        <v>44186</v>
      </c>
      <c r="C359" s="8">
        <f>SUMIF(Fluxo_Diário!$B$9:$B$1048576,Fluxo_Diário_DB!B359,Fluxo_Diário!$C$9:$C$1048576)</f>
        <v>0</v>
      </c>
      <c r="D359" s="8">
        <f t="shared" si="76"/>
        <v>293750</v>
      </c>
      <c r="F359" s="43">
        <f t="shared" si="74"/>
        <v>44186</v>
      </c>
      <c r="G359" s="8">
        <f>SUMIF(Fluxo_Diário!$D$9:$D$1048576,Fluxo_Diário_DB!B359,Fluxo_Diário!$E$9:$E$1048576)</f>
        <v>0</v>
      </c>
      <c r="H359" s="8">
        <f t="shared" si="77"/>
        <v>293750</v>
      </c>
    </row>
    <row r="360" spans="2:8" x14ac:dyDescent="0.25">
      <c r="B360" s="10">
        <f t="shared" si="75"/>
        <v>44187</v>
      </c>
      <c r="C360" s="8">
        <f>SUMIF(Fluxo_Diário!$B$9:$B$1048576,Fluxo_Diário_DB!B360,Fluxo_Diário!$C$9:$C$1048576)</f>
        <v>0</v>
      </c>
      <c r="D360" s="8">
        <f t="shared" si="76"/>
        <v>293750</v>
      </c>
      <c r="F360" s="43">
        <f t="shared" si="74"/>
        <v>44187</v>
      </c>
      <c r="G360" s="8">
        <f>SUMIF(Fluxo_Diário!$D$9:$D$1048576,Fluxo_Diário_DB!B360,Fluxo_Diário!$E$9:$E$1048576)</f>
        <v>0</v>
      </c>
      <c r="H360" s="8">
        <f t="shared" si="77"/>
        <v>293750</v>
      </c>
    </row>
    <row r="361" spans="2:8" x14ac:dyDescent="0.25">
      <c r="B361" s="10">
        <f t="shared" si="75"/>
        <v>44188</v>
      </c>
      <c r="C361" s="8">
        <f>SUMIF(Fluxo_Diário!$B$9:$B$1048576,Fluxo_Diário_DB!B361,Fluxo_Diário!$C$9:$C$1048576)</f>
        <v>0</v>
      </c>
      <c r="D361" s="8">
        <f t="shared" si="76"/>
        <v>293750</v>
      </c>
      <c r="F361" s="43">
        <f t="shared" si="74"/>
        <v>44188</v>
      </c>
      <c r="G361" s="8">
        <f>SUMIF(Fluxo_Diário!$D$9:$D$1048576,Fluxo_Diário_DB!B361,Fluxo_Diário!$E$9:$E$1048576)</f>
        <v>0</v>
      </c>
      <c r="H361" s="8">
        <f t="shared" si="77"/>
        <v>293750</v>
      </c>
    </row>
    <row r="362" spans="2:8" x14ac:dyDescent="0.25">
      <c r="B362" s="10">
        <f t="shared" si="75"/>
        <v>44189</v>
      </c>
      <c r="C362" s="8">
        <f>SUMIF(Fluxo_Diário!$B$9:$B$1048576,Fluxo_Diário_DB!B362,Fluxo_Diário!$C$9:$C$1048576)</f>
        <v>0</v>
      </c>
      <c r="D362" s="8">
        <f t="shared" si="76"/>
        <v>293750</v>
      </c>
      <c r="F362" s="43">
        <f t="shared" si="74"/>
        <v>44189</v>
      </c>
      <c r="G362" s="8">
        <f>SUMIF(Fluxo_Diário!$D$9:$D$1048576,Fluxo_Diário_DB!B362,Fluxo_Diário!$E$9:$E$1048576)</f>
        <v>0</v>
      </c>
      <c r="H362" s="8">
        <f t="shared" si="77"/>
        <v>293750</v>
      </c>
    </row>
    <row r="363" spans="2:8" x14ac:dyDescent="0.25">
      <c r="B363" s="10">
        <f t="shared" si="75"/>
        <v>44190</v>
      </c>
      <c r="C363" s="8">
        <f>SUMIF(Fluxo_Diário!$B$9:$B$1048576,Fluxo_Diário_DB!B363,Fluxo_Diário!$C$9:$C$1048576)</f>
        <v>0</v>
      </c>
      <c r="D363" s="8">
        <f t="shared" si="76"/>
        <v>293750</v>
      </c>
      <c r="F363" s="43">
        <f t="shared" si="74"/>
        <v>44190</v>
      </c>
      <c r="G363" s="8">
        <f>SUMIF(Fluxo_Diário!$D$9:$D$1048576,Fluxo_Diário_DB!B363,Fluxo_Diário!$E$9:$E$1048576)</f>
        <v>0</v>
      </c>
      <c r="H363" s="8">
        <f t="shared" si="77"/>
        <v>293750</v>
      </c>
    </row>
    <row r="364" spans="2:8" x14ac:dyDescent="0.25">
      <c r="B364" s="10">
        <f t="shared" si="75"/>
        <v>44191</v>
      </c>
      <c r="C364" s="8">
        <f>SUMIF(Fluxo_Diário!$B$9:$B$1048576,Fluxo_Diário_DB!B364,Fluxo_Diário!$C$9:$C$1048576)</f>
        <v>0</v>
      </c>
      <c r="D364" s="8">
        <f t="shared" si="76"/>
        <v>293750</v>
      </c>
      <c r="F364" s="43">
        <f t="shared" si="74"/>
        <v>44191</v>
      </c>
      <c r="G364" s="8">
        <f>SUMIF(Fluxo_Diário!$D$9:$D$1048576,Fluxo_Diário_DB!B364,Fluxo_Diário!$E$9:$E$1048576)</f>
        <v>0</v>
      </c>
      <c r="H364" s="8">
        <f t="shared" si="77"/>
        <v>293750</v>
      </c>
    </row>
    <row r="365" spans="2:8" x14ac:dyDescent="0.25">
      <c r="B365" s="10">
        <f t="shared" si="75"/>
        <v>44192</v>
      </c>
      <c r="C365" s="8">
        <f>SUMIF(Fluxo_Diário!$B$9:$B$1048576,Fluxo_Diário_DB!B365,Fluxo_Diário!$C$9:$C$1048576)</f>
        <v>0</v>
      </c>
      <c r="D365" s="8">
        <f t="shared" si="76"/>
        <v>293750</v>
      </c>
      <c r="F365" s="43">
        <f t="shared" si="74"/>
        <v>44192</v>
      </c>
      <c r="G365" s="8">
        <f>SUMIF(Fluxo_Diário!$D$9:$D$1048576,Fluxo_Diário_DB!B365,Fluxo_Diário!$E$9:$E$1048576)</f>
        <v>0</v>
      </c>
      <c r="H365" s="8">
        <f t="shared" si="77"/>
        <v>293750</v>
      </c>
    </row>
    <row r="366" spans="2:8" x14ac:dyDescent="0.25">
      <c r="B366" s="10">
        <f t="shared" si="75"/>
        <v>44193</v>
      </c>
      <c r="C366" s="8">
        <f>SUMIF(Fluxo_Diário!$B$9:$B$1048576,Fluxo_Diário_DB!B366,Fluxo_Diário!$C$9:$C$1048576)</f>
        <v>0</v>
      </c>
      <c r="D366" s="8">
        <f t="shared" si="76"/>
        <v>293750</v>
      </c>
      <c r="F366" s="43">
        <f t="shared" si="74"/>
        <v>44193</v>
      </c>
      <c r="G366" s="8">
        <f>SUMIF(Fluxo_Diário!$D$9:$D$1048576,Fluxo_Diário_DB!B366,Fluxo_Diário!$E$9:$E$1048576)</f>
        <v>0</v>
      </c>
      <c r="H366" s="8">
        <f t="shared" si="77"/>
        <v>293750</v>
      </c>
    </row>
    <row r="367" spans="2:8" x14ac:dyDescent="0.25">
      <c r="B367" s="10">
        <f t="shared" si="75"/>
        <v>44194</v>
      </c>
      <c r="C367" s="8">
        <f>SUMIF(Fluxo_Diário!$B$9:$B$1048576,Fluxo_Diário_DB!B367,Fluxo_Diário!$C$9:$C$1048576)</f>
        <v>0</v>
      </c>
      <c r="D367" s="8">
        <f t="shared" si="76"/>
        <v>293750</v>
      </c>
      <c r="F367" s="43">
        <f t="shared" si="74"/>
        <v>44194</v>
      </c>
      <c r="G367" s="8">
        <f>SUMIF(Fluxo_Diário!$D$9:$D$1048576,Fluxo_Diário_DB!B367,Fluxo_Diário!$E$9:$E$1048576)</f>
        <v>0</v>
      </c>
      <c r="H367" s="8">
        <f t="shared" si="77"/>
        <v>293750</v>
      </c>
    </row>
    <row r="368" spans="2:8" x14ac:dyDescent="0.25">
      <c r="B368" s="10">
        <f t="shared" si="75"/>
        <v>44195</v>
      </c>
      <c r="C368" s="8">
        <f>SUMIF(Fluxo_Diário!$B$9:$B$1048576,Fluxo_Diário_DB!B368,Fluxo_Diário!$C$9:$C$1048576)</f>
        <v>0</v>
      </c>
      <c r="D368" s="8">
        <f t="shared" si="76"/>
        <v>293750</v>
      </c>
      <c r="F368" s="43">
        <f t="shared" si="74"/>
        <v>44195</v>
      </c>
      <c r="G368" s="8">
        <f>SUMIF(Fluxo_Diário!$D$9:$D$1048576,Fluxo_Diário_DB!B368,Fluxo_Diário!$E$9:$E$1048576)</f>
        <v>0</v>
      </c>
      <c r="H368" s="8">
        <f t="shared" si="77"/>
        <v>293750</v>
      </c>
    </row>
    <row r="369" spans="2:8" x14ac:dyDescent="0.25">
      <c r="B369" s="10">
        <f t="shared" si="75"/>
        <v>44196</v>
      </c>
      <c r="C369" s="8">
        <f>SUMIF(Fluxo_Diário!$B$9:$B$1048576,Fluxo_Diário_DB!B369,Fluxo_Diário!$C$9:$C$1048576)</f>
        <v>0</v>
      </c>
      <c r="D369" s="8">
        <f t="shared" si="76"/>
        <v>293750</v>
      </c>
      <c r="F369" s="43">
        <f t="shared" si="74"/>
        <v>44196</v>
      </c>
      <c r="G369" s="8">
        <f>SUMIF(Fluxo_Diário!$D$9:$D$1048576,Fluxo_Diário_DB!B369,Fluxo_Diário!$E$9:$E$1048576)</f>
        <v>0</v>
      </c>
      <c r="H369" s="8">
        <f t="shared" si="77"/>
        <v>293750</v>
      </c>
    </row>
    <row r="370" spans="2:8" x14ac:dyDescent="0.25">
      <c r="B370" s="37"/>
    </row>
    <row r="371" spans="2:8" x14ac:dyDescent="0.25">
      <c r="B371" s="37"/>
    </row>
    <row r="372" spans="2:8" x14ac:dyDescent="0.25">
      <c r="B372" s="37"/>
    </row>
    <row r="373" spans="2:8" x14ac:dyDescent="0.25">
      <c r="B373" s="37"/>
    </row>
    <row r="374" spans="2:8" x14ac:dyDescent="0.25">
      <c r="B374" s="37"/>
    </row>
    <row r="375" spans="2:8" x14ac:dyDescent="0.25">
      <c r="B375" s="37"/>
    </row>
    <row r="376" spans="2:8" x14ac:dyDescent="0.25">
      <c r="B376" s="37"/>
    </row>
    <row r="377" spans="2:8" x14ac:dyDescent="0.25">
      <c r="B377" s="37"/>
    </row>
    <row r="378" spans="2:8" x14ac:dyDescent="0.25">
      <c r="B378" s="37"/>
    </row>
    <row r="379" spans="2:8" x14ac:dyDescent="0.25">
      <c r="B379" s="37"/>
    </row>
    <row r="380" spans="2:8" x14ac:dyDescent="0.25">
      <c r="B380" s="37"/>
    </row>
    <row r="381" spans="2:8" x14ac:dyDescent="0.25">
      <c r="B381" s="37"/>
    </row>
    <row r="382" spans="2:8" x14ac:dyDescent="0.25">
      <c r="B382" s="37"/>
    </row>
    <row r="383" spans="2:8" x14ac:dyDescent="0.25">
      <c r="B383" s="37"/>
    </row>
    <row r="384" spans="2:8" x14ac:dyDescent="0.25">
      <c r="B384" s="37"/>
    </row>
    <row r="385" spans="2:2" x14ac:dyDescent="0.25">
      <c r="B385" s="37"/>
    </row>
    <row r="386" spans="2:2" x14ac:dyDescent="0.25">
      <c r="B386" s="37"/>
    </row>
    <row r="387" spans="2:2" x14ac:dyDescent="0.25">
      <c r="B387" s="37"/>
    </row>
    <row r="388" spans="2:2" x14ac:dyDescent="0.25">
      <c r="B388" s="37"/>
    </row>
    <row r="389" spans="2:2" x14ac:dyDescent="0.25">
      <c r="B389" s="37"/>
    </row>
    <row r="390" spans="2:2" x14ac:dyDescent="0.25">
      <c r="B390" s="37"/>
    </row>
    <row r="391" spans="2:2" x14ac:dyDescent="0.25">
      <c r="B391" s="37"/>
    </row>
    <row r="392" spans="2:2" x14ac:dyDescent="0.25">
      <c r="B392" s="37"/>
    </row>
    <row r="393" spans="2:2" x14ac:dyDescent="0.25">
      <c r="B393" s="37"/>
    </row>
    <row r="394" spans="2:2" x14ac:dyDescent="0.25">
      <c r="B394" s="37"/>
    </row>
    <row r="395" spans="2:2" x14ac:dyDescent="0.25">
      <c r="B395" s="37"/>
    </row>
    <row r="396" spans="2:2" x14ac:dyDescent="0.25">
      <c r="B396" s="37"/>
    </row>
    <row r="397" spans="2:2" x14ac:dyDescent="0.25">
      <c r="B397" s="37"/>
    </row>
    <row r="398" spans="2:2" x14ac:dyDescent="0.25">
      <c r="B398" s="37"/>
    </row>
    <row r="399" spans="2:2" x14ac:dyDescent="0.25">
      <c r="B399" s="37"/>
    </row>
    <row r="400" spans="2:2" x14ac:dyDescent="0.25">
      <c r="B400" s="37"/>
    </row>
    <row r="401" spans="2:2" x14ac:dyDescent="0.25">
      <c r="B401" s="37"/>
    </row>
    <row r="402" spans="2:2" x14ac:dyDescent="0.25">
      <c r="B402" s="37"/>
    </row>
    <row r="403" spans="2:2" x14ac:dyDescent="0.25">
      <c r="B403" s="37"/>
    </row>
    <row r="404" spans="2:2" x14ac:dyDescent="0.25">
      <c r="B404" s="37"/>
    </row>
    <row r="405" spans="2:2" x14ac:dyDescent="0.25">
      <c r="B405" s="37"/>
    </row>
    <row r="406" spans="2:2" x14ac:dyDescent="0.25">
      <c r="B406" s="37"/>
    </row>
    <row r="407" spans="2:2" x14ac:dyDescent="0.25">
      <c r="B407" s="37"/>
    </row>
    <row r="408" spans="2:2" x14ac:dyDescent="0.25">
      <c r="B408" s="37"/>
    </row>
    <row r="409" spans="2:2" x14ac:dyDescent="0.25">
      <c r="B409" s="37"/>
    </row>
    <row r="410" spans="2:2" x14ac:dyDescent="0.25">
      <c r="B410" s="37"/>
    </row>
    <row r="411" spans="2:2" x14ac:dyDescent="0.25">
      <c r="B411" s="37"/>
    </row>
    <row r="412" spans="2:2" x14ac:dyDescent="0.25">
      <c r="B412" s="37"/>
    </row>
    <row r="413" spans="2:2" x14ac:dyDescent="0.25">
      <c r="B413" s="37"/>
    </row>
    <row r="414" spans="2:2" x14ac:dyDescent="0.25">
      <c r="B414" s="37"/>
    </row>
    <row r="415" spans="2:2" x14ac:dyDescent="0.25">
      <c r="B415" s="37"/>
    </row>
    <row r="416" spans="2:2" x14ac:dyDescent="0.25">
      <c r="B416" s="37"/>
    </row>
    <row r="417" spans="2:2" x14ac:dyDescent="0.25">
      <c r="B417" s="37"/>
    </row>
    <row r="418" spans="2:2" x14ac:dyDescent="0.25">
      <c r="B418" s="37"/>
    </row>
    <row r="419" spans="2:2" x14ac:dyDescent="0.25">
      <c r="B419" s="37"/>
    </row>
    <row r="420" spans="2:2" x14ac:dyDescent="0.25">
      <c r="B420" s="37"/>
    </row>
    <row r="421" spans="2:2" x14ac:dyDescent="0.25">
      <c r="B421" s="37"/>
    </row>
    <row r="422" spans="2:2" x14ac:dyDescent="0.25">
      <c r="B422" s="37"/>
    </row>
    <row r="423" spans="2:2" x14ac:dyDescent="0.25">
      <c r="B423" s="37"/>
    </row>
    <row r="424" spans="2:2" x14ac:dyDescent="0.25">
      <c r="B424" s="37"/>
    </row>
    <row r="425" spans="2:2" x14ac:dyDescent="0.25">
      <c r="B425" s="37"/>
    </row>
    <row r="426" spans="2:2" x14ac:dyDescent="0.25">
      <c r="B426" s="37"/>
    </row>
    <row r="427" spans="2:2" x14ac:dyDescent="0.25">
      <c r="B427" s="37"/>
    </row>
    <row r="428" spans="2:2" x14ac:dyDescent="0.25">
      <c r="B428" s="37"/>
    </row>
    <row r="429" spans="2:2" x14ac:dyDescent="0.25">
      <c r="B429" s="37"/>
    </row>
    <row r="430" spans="2:2" x14ac:dyDescent="0.25">
      <c r="B430" s="37"/>
    </row>
    <row r="431" spans="2:2" x14ac:dyDescent="0.25">
      <c r="B431" s="37"/>
    </row>
    <row r="432" spans="2:2" x14ac:dyDescent="0.25">
      <c r="B432" s="37"/>
    </row>
    <row r="433" spans="2:2" x14ac:dyDescent="0.25">
      <c r="B433" s="37"/>
    </row>
    <row r="434" spans="2:2" x14ac:dyDescent="0.25">
      <c r="B434" s="37"/>
    </row>
    <row r="435" spans="2:2" x14ac:dyDescent="0.25">
      <c r="B435" s="37"/>
    </row>
    <row r="436" spans="2:2" x14ac:dyDescent="0.25">
      <c r="B436" s="37"/>
    </row>
    <row r="437" spans="2:2" x14ac:dyDescent="0.25">
      <c r="B437" s="37"/>
    </row>
    <row r="438" spans="2:2" x14ac:dyDescent="0.25">
      <c r="B438" s="37"/>
    </row>
    <row r="439" spans="2:2" x14ac:dyDescent="0.25">
      <c r="B439" s="37"/>
    </row>
    <row r="440" spans="2:2" x14ac:dyDescent="0.25">
      <c r="B440" s="37"/>
    </row>
    <row r="441" spans="2:2" x14ac:dyDescent="0.25">
      <c r="B441" s="37"/>
    </row>
    <row r="442" spans="2:2" x14ac:dyDescent="0.25">
      <c r="B442" s="37"/>
    </row>
    <row r="443" spans="2:2" x14ac:dyDescent="0.25">
      <c r="B443" s="37"/>
    </row>
    <row r="444" spans="2:2" x14ac:dyDescent="0.25">
      <c r="B444" s="37"/>
    </row>
    <row r="445" spans="2:2" x14ac:dyDescent="0.25">
      <c r="B445" s="37"/>
    </row>
    <row r="446" spans="2:2" x14ac:dyDescent="0.25">
      <c r="B446" s="37"/>
    </row>
    <row r="447" spans="2:2" x14ac:dyDescent="0.25">
      <c r="B447" s="37"/>
    </row>
    <row r="448" spans="2:2" x14ac:dyDescent="0.25">
      <c r="B448" s="37"/>
    </row>
    <row r="449" spans="2:2" x14ac:dyDescent="0.25">
      <c r="B449" s="37"/>
    </row>
    <row r="450" spans="2:2" x14ac:dyDescent="0.25">
      <c r="B450" s="37"/>
    </row>
    <row r="451" spans="2:2" x14ac:dyDescent="0.25">
      <c r="B451" s="37"/>
    </row>
    <row r="452" spans="2:2" x14ac:dyDescent="0.25">
      <c r="B452" s="37"/>
    </row>
    <row r="453" spans="2:2" x14ac:dyDescent="0.25">
      <c r="B453" s="37"/>
    </row>
    <row r="454" spans="2:2" x14ac:dyDescent="0.25">
      <c r="B454" s="37"/>
    </row>
    <row r="455" spans="2:2" x14ac:dyDescent="0.25">
      <c r="B455" s="37"/>
    </row>
    <row r="456" spans="2:2" x14ac:dyDescent="0.25">
      <c r="B456" s="37"/>
    </row>
    <row r="457" spans="2:2" x14ac:dyDescent="0.25">
      <c r="B457" s="37"/>
    </row>
    <row r="458" spans="2:2" x14ac:dyDescent="0.25">
      <c r="B458" s="37"/>
    </row>
    <row r="459" spans="2:2" x14ac:dyDescent="0.25">
      <c r="B459" s="37"/>
    </row>
    <row r="460" spans="2:2" x14ac:dyDescent="0.25">
      <c r="B460" s="37"/>
    </row>
    <row r="461" spans="2:2" x14ac:dyDescent="0.25">
      <c r="B461" s="37"/>
    </row>
    <row r="462" spans="2:2" x14ac:dyDescent="0.25">
      <c r="B462" s="37"/>
    </row>
    <row r="463" spans="2:2" x14ac:dyDescent="0.25">
      <c r="B463" s="37"/>
    </row>
    <row r="464" spans="2:2" x14ac:dyDescent="0.25">
      <c r="B464" s="37"/>
    </row>
    <row r="465" spans="2:2" x14ac:dyDescent="0.25">
      <c r="B465" s="37"/>
    </row>
    <row r="466" spans="2:2" x14ac:dyDescent="0.25">
      <c r="B466" s="37"/>
    </row>
    <row r="467" spans="2:2" x14ac:dyDescent="0.25">
      <c r="B467" s="37"/>
    </row>
    <row r="468" spans="2:2" x14ac:dyDescent="0.25">
      <c r="B468" s="37"/>
    </row>
    <row r="469" spans="2:2" x14ac:dyDescent="0.25">
      <c r="B469" s="37"/>
    </row>
    <row r="470" spans="2:2" x14ac:dyDescent="0.25">
      <c r="B470" s="37"/>
    </row>
    <row r="471" spans="2:2" x14ac:dyDescent="0.25">
      <c r="B471" s="37"/>
    </row>
    <row r="472" spans="2:2" x14ac:dyDescent="0.25">
      <c r="B472" s="37"/>
    </row>
    <row r="473" spans="2:2" x14ac:dyDescent="0.25">
      <c r="B473" s="37"/>
    </row>
    <row r="474" spans="2:2" x14ac:dyDescent="0.25">
      <c r="B474" s="37"/>
    </row>
    <row r="475" spans="2:2" x14ac:dyDescent="0.25">
      <c r="B475" s="37"/>
    </row>
    <row r="476" spans="2:2" x14ac:dyDescent="0.25">
      <c r="B476" s="37"/>
    </row>
    <row r="477" spans="2:2" x14ac:dyDescent="0.25">
      <c r="B477" s="37"/>
    </row>
    <row r="478" spans="2:2" x14ac:dyDescent="0.25">
      <c r="B478" s="37"/>
    </row>
    <row r="479" spans="2:2" x14ac:dyDescent="0.25">
      <c r="B479" s="37"/>
    </row>
    <row r="480" spans="2:2" x14ac:dyDescent="0.25">
      <c r="B480" s="37"/>
    </row>
    <row r="481" spans="2:2" x14ac:dyDescent="0.25">
      <c r="B481" s="37"/>
    </row>
    <row r="482" spans="2:2" x14ac:dyDescent="0.25">
      <c r="B482" s="37"/>
    </row>
    <row r="483" spans="2:2" x14ac:dyDescent="0.25">
      <c r="B483" s="37"/>
    </row>
    <row r="484" spans="2:2" x14ac:dyDescent="0.25">
      <c r="B484" s="37"/>
    </row>
    <row r="485" spans="2:2" x14ac:dyDescent="0.25">
      <c r="B485" s="37"/>
    </row>
    <row r="486" spans="2:2" x14ac:dyDescent="0.25">
      <c r="B486" s="37"/>
    </row>
    <row r="487" spans="2:2" x14ac:dyDescent="0.25">
      <c r="B487" s="37"/>
    </row>
    <row r="488" spans="2:2" x14ac:dyDescent="0.25">
      <c r="B488" s="37"/>
    </row>
    <row r="489" spans="2:2" x14ac:dyDescent="0.25">
      <c r="B489" s="37"/>
    </row>
    <row r="490" spans="2:2" x14ac:dyDescent="0.25">
      <c r="B490" s="37"/>
    </row>
    <row r="491" spans="2:2" x14ac:dyDescent="0.25">
      <c r="B491" s="37"/>
    </row>
    <row r="492" spans="2:2" x14ac:dyDescent="0.25">
      <c r="B492" s="37"/>
    </row>
    <row r="493" spans="2:2" x14ac:dyDescent="0.25">
      <c r="B493" s="37"/>
    </row>
    <row r="494" spans="2:2" x14ac:dyDescent="0.25">
      <c r="B494" s="37"/>
    </row>
    <row r="495" spans="2:2" x14ac:dyDescent="0.25">
      <c r="B495" s="37"/>
    </row>
    <row r="496" spans="2:2" x14ac:dyDescent="0.25">
      <c r="B496" s="37"/>
    </row>
    <row r="497" spans="2:2" x14ac:dyDescent="0.25">
      <c r="B497" s="37"/>
    </row>
    <row r="498" spans="2:2" x14ac:dyDescent="0.25">
      <c r="B498" s="37"/>
    </row>
    <row r="499" spans="2:2" x14ac:dyDescent="0.25">
      <c r="B499" s="37"/>
    </row>
    <row r="500" spans="2:2" x14ac:dyDescent="0.25">
      <c r="B500" s="37"/>
    </row>
    <row r="501" spans="2:2" x14ac:dyDescent="0.25">
      <c r="B501" s="37"/>
    </row>
    <row r="502" spans="2:2" x14ac:dyDescent="0.25">
      <c r="B502" s="37"/>
    </row>
    <row r="503" spans="2:2" x14ac:dyDescent="0.25">
      <c r="B503" s="37"/>
    </row>
    <row r="504" spans="2:2" x14ac:dyDescent="0.25">
      <c r="B504" s="37"/>
    </row>
    <row r="505" spans="2:2" x14ac:dyDescent="0.25">
      <c r="B505" s="37"/>
    </row>
    <row r="506" spans="2:2" x14ac:dyDescent="0.25">
      <c r="B506" s="37"/>
    </row>
    <row r="507" spans="2:2" x14ac:dyDescent="0.25">
      <c r="B507" s="37"/>
    </row>
    <row r="508" spans="2:2" x14ac:dyDescent="0.25">
      <c r="B508" s="37"/>
    </row>
    <row r="509" spans="2:2" x14ac:dyDescent="0.25">
      <c r="B509" s="37"/>
    </row>
    <row r="510" spans="2:2" x14ac:dyDescent="0.25">
      <c r="B510" s="37"/>
    </row>
    <row r="511" spans="2:2" x14ac:dyDescent="0.25">
      <c r="B511" s="37"/>
    </row>
    <row r="512" spans="2:2" x14ac:dyDescent="0.25">
      <c r="B512" s="37"/>
    </row>
    <row r="513" spans="2:2" x14ac:dyDescent="0.25">
      <c r="B513" s="37"/>
    </row>
    <row r="514" spans="2:2" x14ac:dyDescent="0.25">
      <c r="B514" s="37"/>
    </row>
    <row r="515" spans="2:2" x14ac:dyDescent="0.25">
      <c r="B515" s="37"/>
    </row>
    <row r="516" spans="2:2" x14ac:dyDescent="0.25">
      <c r="B516" s="37"/>
    </row>
    <row r="517" spans="2:2" x14ac:dyDescent="0.25">
      <c r="B517" s="37"/>
    </row>
    <row r="518" spans="2:2" x14ac:dyDescent="0.25">
      <c r="B518" s="37"/>
    </row>
    <row r="519" spans="2:2" x14ac:dyDescent="0.25">
      <c r="B519" s="37"/>
    </row>
    <row r="520" spans="2:2" x14ac:dyDescent="0.25">
      <c r="B520" s="37"/>
    </row>
    <row r="521" spans="2:2" x14ac:dyDescent="0.25">
      <c r="B521" s="37"/>
    </row>
    <row r="522" spans="2:2" x14ac:dyDescent="0.25">
      <c r="B522" s="37"/>
    </row>
    <row r="523" spans="2:2" x14ac:dyDescent="0.25">
      <c r="B523" s="37"/>
    </row>
    <row r="524" spans="2:2" x14ac:dyDescent="0.25">
      <c r="B524" s="37"/>
    </row>
    <row r="525" spans="2:2" x14ac:dyDescent="0.25">
      <c r="B525" s="37"/>
    </row>
    <row r="526" spans="2:2" x14ac:dyDescent="0.25">
      <c r="B526" s="37"/>
    </row>
    <row r="527" spans="2:2" x14ac:dyDescent="0.25">
      <c r="B527" s="37"/>
    </row>
    <row r="528" spans="2:2" x14ac:dyDescent="0.25">
      <c r="B528" s="37"/>
    </row>
    <row r="529" spans="2:2" x14ac:dyDescent="0.25">
      <c r="B529" s="37"/>
    </row>
    <row r="530" spans="2:2" x14ac:dyDescent="0.25">
      <c r="B530" s="37"/>
    </row>
    <row r="531" spans="2:2" x14ac:dyDescent="0.25">
      <c r="B531" s="37"/>
    </row>
    <row r="532" spans="2:2" x14ac:dyDescent="0.25">
      <c r="B532" s="37"/>
    </row>
    <row r="533" spans="2:2" x14ac:dyDescent="0.25">
      <c r="B533" s="37"/>
    </row>
    <row r="534" spans="2:2" x14ac:dyDescent="0.25">
      <c r="B534" s="37"/>
    </row>
    <row r="535" spans="2:2" x14ac:dyDescent="0.25">
      <c r="B535" s="37"/>
    </row>
    <row r="536" spans="2:2" x14ac:dyDescent="0.25">
      <c r="B536" s="37"/>
    </row>
    <row r="537" spans="2:2" x14ac:dyDescent="0.25">
      <c r="B537" s="37"/>
    </row>
    <row r="538" spans="2:2" x14ac:dyDescent="0.25">
      <c r="B538" s="37"/>
    </row>
    <row r="539" spans="2:2" x14ac:dyDescent="0.25">
      <c r="B539" s="37"/>
    </row>
    <row r="540" spans="2:2" x14ac:dyDescent="0.25">
      <c r="B540" s="37"/>
    </row>
    <row r="541" spans="2:2" x14ac:dyDescent="0.25">
      <c r="B541" s="37"/>
    </row>
    <row r="542" spans="2:2" x14ac:dyDescent="0.25">
      <c r="B542" s="37"/>
    </row>
    <row r="543" spans="2:2" x14ac:dyDescent="0.25">
      <c r="B543" s="37"/>
    </row>
    <row r="544" spans="2:2" x14ac:dyDescent="0.25">
      <c r="B544" s="37"/>
    </row>
    <row r="545" spans="2:2" x14ac:dyDescent="0.25">
      <c r="B545" s="37"/>
    </row>
    <row r="546" spans="2:2" x14ac:dyDescent="0.25">
      <c r="B546" s="37"/>
    </row>
    <row r="547" spans="2:2" x14ac:dyDescent="0.25">
      <c r="B547" s="37"/>
    </row>
    <row r="548" spans="2:2" x14ac:dyDescent="0.25">
      <c r="B548" s="37"/>
    </row>
    <row r="549" spans="2:2" x14ac:dyDescent="0.25">
      <c r="B549" s="37"/>
    </row>
    <row r="550" spans="2:2" x14ac:dyDescent="0.25">
      <c r="B550" s="37"/>
    </row>
    <row r="551" spans="2:2" x14ac:dyDescent="0.25">
      <c r="B551" s="37"/>
    </row>
    <row r="552" spans="2:2" x14ac:dyDescent="0.25">
      <c r="B552" s="37"/>
    </row>
    <row r="553" spans="2:2" x14ac:dyDescent="0.25">
      <c r="B553" s="37"/>
    </row>
    <row r="554" spans="2:2" x14ac:dyDescent="0.25">
      <c r="B554" s="37"/>
    </row>
    <row r="555" spans="2:2" x14ac:dyDescent="0.25">
      <c r="B555" s="37"/>
    </row>
    <row r="556" spans="2:2" x14ac:dyDescent="0.25">
      <c r="B556" s="37"/>
    </row>
    <row r="557" spans="2:2" x14ac:dyDescent="0.25">
      <c r="B557" s="37"/>
    </row>
    <row r="558" spans="2:2" x14ac:dyDescent="0.25">
      <c r="B558" s="37"/>
    </row>
    <row r="559" spans="2:2" x14ac:dyDescent="0.25">
      <c r="B559" s="37"/>
    </row>
    <row r="560" spans="2:2" x14ac:dyDescent="0.25">
      <c r="B560" s="37"/>
    </row>
    <row r="561" spans="2:2" x14ac:dyDescent="0.25">
      <c r="B561" s="37"/>
    </row>
    <row r="562" spans="2:2" x14ac:dyDescent="0.25">
      <c r="B562" s="37"/>
    </row>
    <row r="563" spans="2:2" x14ac:dyDescent="0.25">
      <c r="B563" s="37"/>
    </row>
    <row r="564" spans="2:2" x14ac:dyDescent="0.25">
      <c r="B564" s="37"/>
    </row>
    <row r="565" spans="2:2" x14ac:dyDescent="0.25">
      <c r="B565" s="37"/>
    </row>
    <row r="566" spans="2:2" x14ac:dyDescent="0.25">
      <c r="B566" s="37"/>
    </row>
    <row r="567" spans="2:2" x14ac:dyDescent="0.25">
      <c r="B567" s="37"/>
    </row>
    <row r="568" spans="2:2" x14ac:dyDescent="0.25">
      <c r="B568" s="37"/>
    </row>
    <row r="569" spans="2:2" x14ac:dyDescent="0.25">
      <c r="B569" s="37"/>
    </row>
    <row r="570" spans="2:2" x14ac:dyDescent="0.25">
      <c r="B570" s="37"/>
    </row>
    <row r="571" spans="2:2" x14ac:dyDescent="0.25">
      <c r="B571" s="37"/>
    </row>
    <row r="572" spans="2:2" x14ac:dyDescent="0.25">
      <c r="B572" s="37"/>
    </row>
    <row r="573" spans="2:2" x14ac:dyDescent="0.25">
      <c r="B573" s="37"/>
    </row>
    <row r="574" spans="2:2" x14ac:dyDescent="0.25">
      <c r="B574" s="37"/>
    </row>
    <row r="575" spans="2:2" x14ac:dyDescent="0.25">
      <c r="B575" s="37"/>
    </row>
    <row r="576" spans="2:2" x14ac:dyDescent="0.25">
      <c r="B576" s="37"/>
    </row>
    <row r="577" spans="2:2" x14ac:dyDescent="0.25">
      <c r="B577" s="37"/>
    </row>
    <row r="578" spans="2:2" x14ac:dyDescent="0.25">
      <c r="B578" s="37"/>
    </row>
    <row r="579" spans="2:2" x14ac:dyDescent="0.25">
      <c r="B579" s="37"/>
    </row>
    <row r="580" spans="2:2" x14ac:dyDescent="0.25">
      <c r="B580" s="37"/>
    </row>
    <row r="581" spans="2:2" x14ac:dyDescent="0.25">
      <c r="B581" s="37"/>
    </row>
    <row r="582" spans="2:2" x14ac:dyDescent="0.25">
      <c r="B582" s="37"/>
    </row>
    <row r="583" spans="2:2" x14ac:dyDescent="0.25">
      <c r="B583" s="37"/>
    </row>
    <row r="584" spans="2:2" x14ac:dyDescent="0.25">
      <c r="B584" s="37"/>
    </row>
    <row r="585" spans="2:2" x14ac:dyDescent="0.25">
      <c r="B585" s="37"/>
    </row>
    <row r="586" spans="2:2" x14ac:dyDescent="0.25">
      <c r="B586" s="37"/>
    </row>
    <row r="587" spans="2:2" x14ac:dyDescent="0.25">
      <c r="B587" s="37"/>
    </row>
    <row r="588" spans="2:2" x14ac:dyDescent="0.25">
      <c r="B588" s="37"/>
    </row>
    <row r="589" spans="2:2" x14ac:dyDescent="0.25">
      <c r="B589" s="37"/>
    </row>
    <row r="590" spans="2:2" x14ac:dyDescent="0.25">
      <c r="B590" s="37"/>
    </row>
    <row r="591" spans="2:2" x14ac:dyDescent="0.25">
      <c r="B591" s="37"/>
    </row>
    <row r="592" spans="2:2" x14ac:dyDescent="0.25">
      <c r="B592" s="37"/>
    </row>
    <row r="593" spans="2:2" x14ac:dyDescent="0.25">
      <c r="B593" s="37"/>
    </row>
    <row r="594" spans="2:2" x14ac:dyDescent="0.25">
      <c r="B594" s="37"/>
    </row>
    <row r="595" spans="2:2" x14ac:dyDescent="0.25">
      <c r="B595" s="37"/>
    </row>
    <row r="596" spans="2:2" x14ac:dyDescent="0.25">
      <c r="B596" s="37"/>
    </row>
    <row r="597" spans="2:2" x14ac:dyDescent="0.25">
      <c r="B597" s="37"/>
    </row>
    <row r="598" spans="2:2" x14ac:dyDescent="0.25">
      <c r="B598" s="37"/>
    </row>
    <row r="599" spans="2:2" x14ac:dyDescent="0.25">
      <c r="B599" s="37"/>
    </row>
    <row r="600" spans="2:2" x14ac:dyDescent="0.25">
      <c r="B600" s="37"/>
    </row>
    <row r="601" spans="2:2" x14ac:dyDescent="0.25">
      <c r="B601" s="37"/>
    </row>
    <row r="602" spans="2:2" x14ac:dyDescent="0.25">
      <c r="B602" s="37"/>
    </row>
    <row r="603" spans="2:2" x14ac:dyDescent="0.25">
      <c r="B603" s="37"/>
    </row>
    <row r="604" spans="2:2" x14ac:dyDescent="0.25">
      <c r="B604" s="37"/>
    </row>
    <row r="605" spans="2:2" x14ac:dyDescent="0.25">
      <c r="B605" s="37"/>
    </row>
    <row r="606" spans="2:2" x14ac:dyDescent="0.25">
      <c r="B606" s="37"/>
    </row>
    <row r="607" spans="2:2" x14ac:dyDescent="0.25">
      <c r="B607" s="37"/>
    </row>
    <row r="608" spans="2:2" x14ac:dyDescent="0.25">
      <c r="B608" s="37"/>
    </row>
    <row r="609" spans="2:2" x14ac:dyDescent="0.25">
      <c r="B609" s="37"/>
    </row>
    <row r="610" spans="2:2" x14ac:dyDescent="0.25">
      <c r="B610" s="37"/>
    </row>
    <row r="611" spans="2:2" x14ac:dyDescent="0.25">
      <c r="B611" s="37"/>
    </row>
    <row r="612" spans="2:2" x14ac:dyDescent="0.25">
      <c r="B612" s="37"/>
    </row>
    <row r="613" spans="2:2" x14ac:dyDescent="0.25">
      <c r="B613" s="37"/>
    </row>
    <row r="614" spans="2:2" x14ac:dyDescent="0.25">
      <c r="B614" s="37"/>
    </row>
    <row r="615" spans="2:2" x14ac:dyDescent="0.25">
      <c r="B615" s="37"/>
    </row>
    <row r="616" spans="2:2" x14ac:dyDescent="0.25">
      <c r="B616" s="37"/>
    </row>
    <row r="617" spans="2:2" x14ac:dyDescent="0.25">
      <c r="B617" s="37"/>
    </row>
    <row r="618" spans="2:2" x14ac:dyDescent="0.25">
      <c r="B618" s="37"/>
    </row>
    <row r="619" spans="2:2" x14ac:dyDescent="0.25">
      <c r="B619" s="37"/>
    </row>
    <row r="620" spans="2:2" x14ac:dyDescent="0.25">
      <c r="B620" s="37"/>
    </row>
    <row r="621" spans="2:2" x14ac:dyDescent="0.25">
      <c r="B621" s="37"/>
    </row>
    <row r="622" spans="2:2" x14ac:dyDescent="0.25">
      <c r="B622" s="37"/>
    </row>
    <row r="623" spans="2:2" x14ac:dyDescent="0.25">
      <c r="B623" s="37"/>
    </row>
    <row r="624" spans="2:2" x14ac:dyDescent="0.25">
      <c r="B624" s="37"/>
    </row>
    <row r="625" spans="2:2" x14ac:dyDescent="0.25">
      <c r="B625" s="37"/>
    </row>
    <row r="626" spans="2:2" x14ac:dyDescent="0.25">
      <c r="B626" s="37"/>
    </row>
    <row r="627" spans="2:2" x14ac:dyDescent="0.25">
      <c r="B627" s="37"/>
    </row>
    <row r="628" spans="2:2" x14ac:dyDescent="0.25">
      <c r="B628" s="37"/>
    </row>
    <row r="629" spans="2:2" x14ac:dyDescent="0.25">
      <c r="B629" s="37"/>
    </row>
    <row r="630" spans="2:2" x14ac:dyDescent="0.25">
      <c r="B630" s="37"/>
    </row>
    <row r="631" spans="2:2" x14ac:dyDescent="0.25">
      <c r="B631" s="37"/>
    </row>
    <row r="632" spans="2:2" x14ac:dyDescent="0.25">
      <c r="B632" s="37"/>
    </row>
    <row r="633" spans="2:2" x14ac:dyDescent="0.25">
      <c r="B633" s="37"/>
    </row>
    <row r="634" spans="2:2" x14ac:dyDescent="0.25">
      <c r="B634" s="37"/>
    </row>
    <row r="635" spans="2:2" x14ac:dyDescent="0.25">
      <c r="B635" s="37"/>
    </row>
    <row r="636" spans="2:2" x14ac:dyDescent="0.25">
      <c r="B636" s="37"/>
    </row>
    <row r="637" spans="2:2" x14ac:dyDescent="0.25">
      <c r="B637" s="37"/>
    </row>
    <row r="638" spans="2:2" x14ac:dyDescent="0.25">
      <c r="B638" s="37"/>
    </row>
    <row r="639" spans="2:2" x14ac:dyDescent="0.25">
      <c r="B639" s="37"/>
    </row>
    <row r="640" spans="2:2" x14ac:dyDescent="0.25">
      <c r="B640" s="37"/>
    </row>
    <row r="641" spans="2:2" x14ac:dyDescent="0.25">
      <c r="B641" s="37"/>
    </row>
    <row r="642" spans="2:2" x14ac:dyDescent="0.25">
      <c r="B642" s="37"/>
    </row>
    <row r="643" spans="2:2" x14ac:dyDescent="0.25">
      <c r="B643" s="37"/>
    </row>
    <row r="644" spans="2:2" x14ac:dyDescent="0.25">
      <c r="B644" s="37"/>
    </row>
    <row r="645" spans="2:2" x14ac:dyDescent="0.25">
      <c r="B645" s="37"/>
    </row>
    <row r="646" spans="2:2" x14ac:dyDescent="0.25">
      <c r="B646" s="37"/>
    </row>
    <row r="647" spans="2:2" x14ac:dyDescent="0.25">
      <c r="B647" s="37"/>
    </row>
    <row r="648" spans="2:2" x14ac:dyDescent="0.25">
      <c r="B648" s="37"/>
    </row>
    <row r="649" spans="2:2" x14ac:dyDescent="0.25">
      <c r="B649" s="37"/>
    </row>
    <row r="650" spans="2:2" x14ac:dyDescent="0.25">
      <c r="B650" s="37"/>
    </row>
    <row r="651" spans="2:2" x14ac:dyDescent="0.25">
      <c r="B651" s="37"/>
    </row>
    <row r="652" spans="2:2" x14ac:dyDescent="0.25">
      <c r="B652" s="37"/>
    </row>
    <row r="653" spans="2:2" x14ac:dyDescent="0.25">
      <c r="B653" s="37"/>
    </row>
    <row r="654" spans="2:2" x14ac:dyDescent="0.25">
      <c r="B654" s="37"/>
    </row>
    <row r="655" spans="2:2" x14ac:dyDescent="0.25">
      <c r="B655" s="37"/>
    </row>
    <row r="656" spans="2:2" x14ac:dyDescent="0.25">
      <c r="B656" s="37"/>
    </row>
    <row r="657" spans="2:2" x14ac:dyDescent="0.25">
      <c r="B657" s="37"/>
    </row>
    <row r="658" spans="2:2" x14ac:dyDescent="0.25">
      <c r="B658" s="37"/>
    </row>
    <row r="659" spans="2:2" x14ac:dyDescent="0.25">
      <c r="B659" s="37"/>
    </row>
    <row r="660" spans="2:2" x14ac:dyDescent="0.25">
      <c r="B660" s="37"/>
    </row>
    <row r="661" spans="2:2" x14ac:dyDescent="0.25">
      <c r="B661" s="37"/>
    </row>
    <row r="662" spans="2:2" x14ac:dyDescent="0.25">
      <c r="B662" s="37"/>
    </row>
    <row r="663" spans="2:2" x14ac:dyDescent="0.25">
      <c r="B663" s="37"/>
    </row>
    <row r="664" spans="2:2" x14ac:dyDescent="0.25">
      <c r="B664" s="37"/>
    </row>
    <row r="665" spans="2:2" x14ac:dyDescent="0.25">
      <c r="B665" s="37"/>
    </row>
    <row r="666" spans="2:2" x14ac:dyDescent="0.25">
      <c r="B666" s="37"/>
    </row>
    <row r="667" spans="2:2" x14ac:dyDescent="0.25">
      <c r="B667" s="37"/>
    </row>
    <row r="668" spans="2:2" x14ac:dyDescent="0.25">
      <c r="B668" s="37"/>
    </row>
    <row r="669" spans="2:2" x14ac:dyDescent="0.25">
      <c r="B669" s="37"/>
    </row>
    <row r="670" spans="2:2" x14ac:dyDescent="0.25">
      <c r="B670" s="37"/>
    </row>
    <row r="671" spans="2:2" x14ac:dyDescent="0.25">
      <c r="B671" s="37"/>
    </row>
    <row r="672" spans="2:2" x14ac:dyDescent="0.25">
      <c r="B672" s="37"/>
    </row>
    <row r="673" spans="2:2" x14ac:dyDescent="0.25">
      <c r="B673" s="37"/>
    </row>
    <row r="674" spans="2:2" x14ac:dyDescent="0.25">
      <c r="B674" s="37"/>
    </row>
    <row r="675" spans="2:2" x14ac:dyDescent="0.25">
      <c r="B675" s="37"/>
    </row>
    <row r="676" spans="2:2" x14ac:dyDescent="0.25">
      <c r="B676" s="37"/>
    </row>
    <row r="677" spans="2:2" x14ac:dyDescent="0.25">
      <c r="B677" s="37"/>
    </row>
    <row r="678" spans="2:2" x14ac:dyDescent="0.25">
      <c r="B678" s="37"/>
    </row>
    <row r="679" spans="2:2" x14ac:dyDescent="0.25">
      <c r="B679" s="37"/>
    </row>
    <row r="680" spans="2:2" x14ac:dyDescent="0.25">
      <c r="B680" s="37"/>
    </row>
    <row r="681" spans="2:2" x14ac:dyDescent="0.25">
      <c r="B681" s="37"/>
    </row>
    <row r="682" spans="2:2" x14ac:dyDescent="0.25">
      <c r="B682" s="37"/>
    </row>
    <row r="683" spans="2:2" x14ac:dyDescent="0.25">
      <c r="B683" s="37"/>
    </row>
    <row r="684" spans="2:2" x14ac:dyDescent="0.25">
      <c r="B684" s="37"/>
    </row>
  </sheetData>
  <autoFilter ref="B2:H369" xr:uid="{05CA1D12-595C-4C38-A564-B72698F9B40A}"/>
  <mergeCells count="18">
    <mergeCell ref="K3:K4"/>
    <mergeCell ref="K5:K6"/>
    <mergeCell ref="J3:J7"/>
    <mergeCell ref="J9:J13"/>
    <mergeCell ref="K9:K10"/>
    <mergeCell ref="K11:K12"/>
    <mergeCell ref="J15:J19"/>
    <mergeCell ref="K15:K16"/>
    <mergeCell ref="K17:K18"/>
    <mergeCell ref="K21:K22"/>
    <mergeCell ref="K23:K24"/>
    <mergeCell ref="J21:J24"/>
    <mergeCell ref="J26:J29"/>
    <mergeCell ref="K26:K27"/>
    <mergeCell ref="K28:K29"/>
    <mergeCell ref="J31:J34"/>
    <mergeCell ref="K31:K32"/>
    <mergeCell ref="K33:K34"/>
  </mergeCells>
  <phoneticPr fontId="7" type="noConversion"/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B7F0-F96B-46C6-9C4C-E4237824D383}">
  <dimension ref="A2:Q72"/>
  <sheetViews>
    <sheetView showGridLines="0" zoomScale="80" zoomScaleNormal="80" workbookViewId="0">
      <pane ySplit="4" topLeftCell="A30" activePane="bottomLeft" state="frozen"/>
      <selection pane="bottomLeft" activeCell="B33" sqref="B33"/>
    </sheetView>
  </sheetViews>
  <sheetFormatPr defaultRowHeight="15" outlineLevelRow="1" x14ac:dyDescent="0.25"/>
  <cols>
    <col min="1" max="1" width="2.7109375" customWidth="1"/>
    <col min="2" max="2" width="41.42578125" bestFit="1" customWidth="1"/>
    <col min="3" max="4" width="15.28515625" bestFit="1" customWidth="1"/>
    <col min="5" max="7" width="14.28515625" bestFit="1" customWidth="1"/>
    <col min="8" max="15" width="15.28515625" bestFit="1" customWidth="1"/>
    <col min="16" max="16" width="17" bestFit="1" customWidth="1"/>
    <col min="17" max="17" width="15.28515625" bestFit="1" customWidth="1"/>
  </cols>
  <sheetData>
    <row r="2" spans="1:17" s="2" customFormat="1" ht="33.75" x14ac:dyDescent="0.5">
      <c r="A2" s="1" t="str">
        <f ca="1">"Fluxo de Caixa Realizado - "&amp;Premissas!C4</f>
        <v>Fluxo de Caixa Realizado - 2020</v>
      </c>
    </row>
    <row r="4" spans="1:17" x14ac:dyDescent="0.25">
      <c r="B4" s="21" t="s">
        <v>1</v>
      </c>
      <c r="C4" s="17" t="s">
        <v>109</v>
      </c>
      <c r="D4" s="17" t="s">
        <v>110</v>
      </c>
      <c r="E4" s="17" t="s">
        <v>111</v>
      </c>
      <c r="F4" s="17" t="s">
        <v>112</v>
      </c>
      <c r="G4" s="17" t="s">
        <v>113</v>
      </c>
      <c r="H4" s="17" t="s">
        <v>114</v>
      </c>
      <c r="I4" s="17" t="s">
        <v>115</v>
      </c>
      <c r="J4" s="17" t="s">
        <v>116</v>
      </c>
      <c r="K4" s="17" t="s">
        <v>117</v>
      </c>
      <c r="L4" s="17" t="s">
        <v>118</v>
      </c>
      <c r="M4" s="17" t="s">
        <v>119</v>
      </c>
      <c r="N4" s="17" t="s">
        <v>120</v>
      </c>
      <c r="O4" s="17" t="s">
        <v>109</v>
      </c>
      <c r="P4" s="17" t="s">
        <v>121</v>
      </c>
      <c r="Q4" s="17" t="s">
        <v>136</v>
      </c>
    </row>
    <row r="5" spans="1:17" x14ac:dyDescent="0.25">
      <c r="B5" s="22" t="str">
        <f>'Plano de Contas'!B5</f>
        <v>RECEITAS OPERACIONAIS</v>
      </c>
      <c r="C5" s="23">
        <f>SUM(C6:C10)</f>
        <v>56325</v>
      </c>
      <c r="D5" s="23">
        <f t="shared" ref="D5:O5" si="0">SUM(D6:D10)</f>
        <v>19889</v>
      </c>
      <c r="E5" s="23">
        <f t="shared" si="0"/>
        <v>62947</v>
      </c>
      <c r="F5" s="23">
        <f t="shared" si="0"/>
        <v>31838</v>
      </c>
      <c r="G5" s="23">
        <f t="shared" si="0"/>
        <v>53566</v>
      </c>
      <c r="H5" s="23">
        <f t="shared" si="0"/>
        <v>91372</v>
      </c>
      <c r="I5" s="23">
        <f t="shared" si="0"/>
        <v>77493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O5" s="23">
        <f t="shared" si="0"/>
        <v>0</v>
      </c>
      <c r="P5" s="23">
        <f>SUM(C5:O5)</f>
        <v>393430</v>
      </c>
      <c r="Q5" s="23">
        <f>IF(P5=0,0,AVERAGE(C5:O5))</f>
        <v>30263.846153846152</v>
      </c>
    </row>
    <row r="6" spans="1:17" outlineLevel="1" x14ac:dyDescent="0.25">
      <c r="B6" s="8" t="str">
        <f>'Plano de Contas'!B6</f>
        <v>Consultoria</v>
      </c>
      <c r="C6" s="14">
        <f>SUMIF(Fluxo_Diário!$I:$I,Fluxo_Realizado!$B6,Fluxo_Diário!O:O)</f>
        <v>28421</v>
      </c>
      <c r="D6" s="14">
        <f>SUMIF(Fluxo_Diário!$I:$I,Fluxo_Realizado!$B6,Fluxo_Diário!P:P)</f>
        <v>19889</v>
      </c>
      <c r="E6" s="14">
        <f>SUMIF(Fluxo_Diário!$I:$I,Fluxo_Realizado!$B6,Fluxo_Diário!Q:Q)</f>
        <v>8451</v>
      </c>
      <c r="F6" s="14">
        <f>SUMIF(Fluxo_Diário!$I:$I,Fluxo_Realizado!$B6,Fluxo_Diário!R:R)</f>
        <v>12775</v>
      </c>
      <c r="G6" s="14">
        <f>SUMIF(Fluxo_Diário!$I:$I,Fluxo_Realizado!$B6,Fluxo_Diário!S:S)</f>
        <v>31311</v>
      </c>
      <c r="H6" s="14">
        <f>SUMIF(Fluxo_Diário!$I:$I,Fluxo_Realizado!$B6,Fluxo_Diário!T:T)</f>
        <v>36030</v>
      </c>
      <c r="I6" s="14">
        <f>SUMIF(Fluxo_Diário!$I:$I,Fluxo_Realizado!$B6,Fluxo_Diário!U:U)</f>
        <v>48694</v>
      </c>
      <c r="J6" s="14">
        <f>SUMIF(Fluxo_Diário!$I:$I,Fluxo_Realizado!$B6,Fluxo_Diário!V:V)</f>
        <v>0</v>
      </c>
      <c r="K6" s="14">
        <f>SUMIF(Fluxo_Diário!$I:$I,Fluxo_Realizado!$B6,Fluxo_Diário!W:W)</f>
        <v>0</v>
      </c>
      <c r="L6" s="14">
        <f>SUMIF(Fluxo_Diário!$I:$I,Fluxo_Realizado!$B6,Fluxo_Diário!X:X)</f>
        <v>0</v>
      </c>
      <c r="M6" s="14">
        <f>SUMIF(Fluxo_Diário!$I:$I,Fluxo_Realizado!$B6,Fluxo_Diário!Y:Y)</f>
        <v>0</v>
      </c>
      <c r="N6" s="14">
        <f>SUMIF(Fluxo_Diário!$I:$I,Fluxo_Realizado!$B6,Fluxo_Diário!Z:Z)</f>
        <v>0</v>
      </c>
      <c r="O6" s="14">
        <f>SUMIF(Fluxo_Diário!$I:$I,Fluxo_Realizado!$B6,Fluxo_Diário!AA:AA)</f>
        <v>0</v>
      </c>
      <c r="P6" s="14">
        <f t="shared" ref="P6:P52" si="1">SUM(C6:O6)</f>
        <v>185571</v>
      </c>
      <c r="Q6" s="14">
        <f t="shared" ref="Q6:Q52" si="2">IF(P6=0,0,AVERAGE(C6:O6))</f>
        <v>14274.692307692309</v>
      </c>
    </row>
    <row r="7" spans="1:17" outlineLevel="1" x14ac:dyDescent="0.25">
      <c r="B7" s="8" t="str">
        <f>'Plano de Contas'!B7</f>
        <v>Licença de software</v>
      </c>
      <c r="C7" s="14">
        <f>SUMIF(Fluxo_Diário!$I:$I,Fluxo_Realizado!$B7,Fluxo_Diário!O:O)</f>
        <v>12449</v>
      </c>
      <c r="D7" s="14">
        <f>SUMIF(Fluxo_Diário!$I:$I,Fluxo_Realizado!$B7,Fluxo_Diário!P:P)</f>
        <v>0</v>
      </c>
      <c r="E7" s="14">
        <f>SUMIF(Fluxo_Diário!$I:$I,Fluxo_Realizado!$B7,Fluxo_Diário!Q:Q)</f>
        <v>10267</v>
      </c>
      <c r="F7" s="14">
        <f>SUMIF(Fluxo_Diário!$I:$I,Fluxo_Realizado!$B7,Fluxo_Diário!R:R)</f>
        <v>19063</v>
      </c>
      <c r="G7" s="14">
        <f>SUMIF(Fluxo_Diário!$I:$I,Fluxo_Realizado!$B7,Fluxo_Diário!S:S)</f>
        <v>18676</v>
      </c>
      <c r="H7" s="14">
        <f>SUMIF(Fluxo_Diário!$I:$I,Fluxo_Realizado!$B7,Fluxo_Diário!T:T)</f>
        <v>33102</v>
      </c>
      <c r="I7" s="14">
        <f>SUMIF(Fluxo_Diário!$I:$I,Fluxo_Realizado!$B7,Fluxo_Diário!U:U)</f>
        <v>0</v>
      </c>
      <c r="J7" s="14">
        <f>SUMIF(Fluxo_Diário!$I:$I,Fluxo_Realizado!$B7,Fluxo_Diário!V:V)</f>
        <v>0</v>
      </c>
      <c r="K7" s="14">
        <f>SUMIF(Fluxo_Diário!$I:$I,Fluxo_Realizado!$B7,Fluxo_Diário!W:W)</f>
        <v>0</v>
      </c>
      <c r="L7" s="14">
        <f>SUMIF(Fluxo_Diário!$I:$I,Fluxo_Realizado!$B7,Fluxo_Diário!X:X)</f>
        <v>0</v>
      </c>
      <c r="M7" s="14">
        <f>SUMIF(Fluxo_Diário!$I:$I,Fluxo_Realizado!$B7,Fluxo_Diário!Y:Y)</f>
        <v>0</v>
      </c>
      <c r="N7" s="14">
        <f>SUMIF(Fluxo_Diário!$I:$I,Fluxo_Realizado!$B7,Fluxo_Diário!Z:Z)</f>
        <v>0</v>
      </c>
      <c r="O7" s="14">
        <f>SUMIF(Fluxo_Diário!$I:$I,Fluxo_Realizado!$B7,Fluxo_Diário!AA:AA)</f>
        <v>0</v>
      </c>
      <c r="P7" s="14">
        <f t="shared" si="1"/>
        <v>93557</v>
      </c>
      <c r="Q7" s="14">
        <f t="shared" si="2"/>
        <v>7196.6923076923076</v>
      </c>
    </row>
    <row r="8" spans="1:17" outlineLevel="1" x14ac:dyDescent="0.25">
      <c r="B8" s="8" t="str">
        <f>'Plano de Contas'!B8</f>
        <v>Manutenção de estrutura</v>
      </c>
      <c r="C8" s="14">
        <f>SUMIF(Fluxo_Diário!$I:$I,Fluxo_Realizado!$B8,Fluxo_Diário!O:O)</f>
        <v>0</v>
      </c>
      <c r="D8" s="14">
        <f>SUMIF(Fluxo_Diário!$I:$I,Fluxo_Realizado!$B8,Fluxo_Diário!P:P)</f>
        <v>0</v>
      </c>
      <c r="E8" s="14">
        <f>SUMIF(Fluxo_Diário!$I:$I,Fluxo_Realizado!$B8,Fluxo_Diário!Q:Q)</f>
        <v>0</v>
      </c>
      <c r="F8" s="14">
        <f>SUMIF(Fluxo_Diário!$I:$I,Fluxo_Realizado!$B8,Fluxo_Diário!R:R)</f>
        <v>0</v>
      </c>
      <c r="G8" s="14">
        <f>SUMIF(Fluxo_Diário!$I:$I,Fluxo_Realizado!$B8,Fluxo_Diário!S:S)</f>
        <v>0</v>
      </c>
      <c r="H8" s="14">
        <f>SUMIF(Fluxo_Diário!$I:$I,Fluxo_Realizado!$B8,Fluxo_Diário!T:T)</f>
        <v>0</v>
      </c>
      <c r="I8" s="14">
        <f>SUMIF(Fluxo_Diário!$I:$I,Fluxo_Realizado!$B8,Fluxo_Diário!U:U)</f>
        <v>0</v>
      </c>
      <c r="J8" s="14">
        <f>SUMIF(Fluxo_Diário!$I:$I,Fluxo_Realizado!$B8,Fluxo_Diário!V:V)</f>
        <v>0</v>
      </c>
      <c r="K8" s="14">
        <f>SUMIF(Fluxo_Diário!$I:$I,Fluxo_Realizado!$B8,Fluxo_Diário!W:W)</f>
        <v>0</v>
      </c>
      <c r="L8" s="14">
        <f>SUMIF(Fluxo_Diário!$I:$I,Fluxo_Realizado!$B8,Fluxo_Diário!X:X)</f>
        <v>0</v>
      </c>
      <c r="M8" s="14">
        <f>SUMIF(Fluxo_Diário!$I:$I,Fluxo_Realizado!$B8,Fluxo_Diário!Y:Y)</f>
        <v>0</v>
      </c>
      <c r="N8" s="14">
        <f>SUMIF(Fluxo_Diário!$I:$I,Fluxo_Realizado!$B8,Fluxo_Diário!Z:Z)</f>
        <v>0</v>
      </c>
      <c r="O8" s="14">
        <f>SUMIF(Fluxo_Diário!$I:$I,Fluxo_Realizado!$B8,Fluxo_Diário!AA:AA)</f>
        <v>0</v>
      </c>
      <c r="P8" s="14">
        <f t="shared" si="1"/>
        <v>0</v>
      </c>
      <c r="Q8" s="14">
        <f t="shared" si="2"/>
        <v>0</v>
      </c>
    </row>
    <row r="9" spans="1:17" outlineLevel="1" x14ac:dyDescent="0.25">
      <c r="B9" s="8" t="str">
        <f>'Plano de Contas'!B9</f>
        <v>Manutenção de Sistemas</v>
      </c>
      <c r="C9" s="14">
        <f>SUMIF(Fluxo_Diário!$I:$I,Fluxo_Realizado!$B9,Fluxo_Diário!O:O)</f>
        <v>15455</v>
      </c>
      <c r="D9" s="14">
        <f>SUMIF(Fluxo_Diário!$I:$I,Fluxo_Realizado!$B9,Fluxo_Diário!P:P)</f>
        <v>0</v>
      </c>
      <c r="E9" s="14">
        <f>SUMIF(Fluxo_Diário!$I:$I,Fluxo_Realizado!$B9,Fluxo_Diário!Q:Q)</f>
        <v>44229</v>
      </c>
      <c r="F9" s="14">
        <f>SUMIF(Fluxo_Diário!$I:$I,Fluxo_Realizado!$B9,Fluxo_Diário!R:R)</f>
        <v>0</v>
      </c>
      <c r="G9" s="14">
        <f>SUMIF(Fluxo_Diário!$I:$I,Fluxo_Realizado!$B9,Fluxo_Diário!S:S)</f>
        <v>3579</v>
      </c>
      <c r="H9" s="14">
        <f>SUMIF(Fluxo_Diário!$I:$I,Fluxo_Realizado!$B9,Fluxo_Diário!T:T)</f>
        <v>22240</v>
      </c>
      <c r="I9" s="14">
        <f>SUMIF(Fluxo_Diário!$I:$I,Fluxo_Realizado!$B9,Fluxo_Diário!U:U)</f>
        <v>28799</v>
      </c>
      <c r="J9" s="14">
        <f>SUMIF(Fluxo_Diário!$I:$I,Fluxo_Realizado!$B9,Fluxo_Diário!V:V)</f>
        <v>0</v>
      </c>
      <c r="K9" s="14">
        <f>SUMIF(Fluxo_Diário!$I:$I,Fluxo_Realizado!$B9,Fluxo_Diário!W:W)</f>
        <v>0</v>
      </c>
      <c r="L9" s="14">
        <f>SUMIF(Fluxo_Diário!$I:$I,Fluxo_Realizado!$B9,Fluxo_Diário!X:X)</f>
        <v>0</v>
      </c>
      <c r="M9" s="14">
        <f>SUMIF(Fluxo_Diário!$I:$I,Fluxo_Realizado!$B9,Fluxo_Diário!Y:Y)</f>
        <v>0</v>
      </c>
      <c r="N9" s="14">
        <f>SUMIF(Fluxo_Diário!$I:$I,Fluxo_Realizado!$B9,Fluxo_Diário!Z:Z)</f>
        <v>0</v>
      </c>
      <c r="O9" s="14">
        <f>SUMIF(Fluxo_Diário!$I:$I,Fluxo_Realizado!$B9,Fluxo_Diário!AA:AA)</f>
        <v>0</v>
      </c>
      <c r="P9" s="14">
        <f t="shared" si="1"/>
        <v>114302</v>
      </c>
      <c r="Q9" s="14">
        <f t="shared" si="2"/>
        <v>8792.461538461539</v>
      </c>
    </row>
    <row r="10" spans="1:17" outlineLevel="1" x14ac:dyDescent="0.25">
      <c r="B10" s="8" t="str">
        <f>'Plano de Contas'!B10</f>
        <v>Outras receitas</v>
      </c>
      <c r="C10" s="14">
        <f>SUMIF(Fluxo_Diário!$I:$I,Fluxo_Realizado!$B10,Fluxo_Diário!O:O)</f>
        <v>0</v>
      </c>
      <c r="D10" s="14">
        <f>SUMIF(Fluxo_Diário!$I:$I,Fluxo_Realizado!$B10,Fluxo_Diário!P:P)</f>
        <v>0</v>
      </c>
      <c r="E10" s="14">
        <f>SUMIF(Fluxo_Diário!$I:$I,Fluxo_Realizado!$B10,Fluxo_Diário!Q:Q)</f>
        <v>0</v>
      </c>
      <c r="F10" s="14">
        <f>SUMIF(Fluxo_Diário!$I:$I,Fluxo_Realizado!$B10,Fluxo_Diário!R:R)</f>
        <v>0</v>
      </c>
      <c r="G10" s="14">
        <f>SUMIF(Fluxo_Diário!$I:$I,Fluxo_Realizado!$B10,Fluxo_Diário!S:S)</f>
        <v>0</v>
      </c>
      <c r="H10" s="14">
        <f>SUMIF(Fluxo_Diário!$I:$I,Fluxo_Realizado!$B10,Fluxo_Diário!T:T)</f>
        <v>0</v>
      </c>
      <c r="I10" s="14">
        <f>SUMIF(Fluxo_Diário!$I:$I,Fluxo_Realizado!$B10,Fluxo_Diário!U:U)</f>
        <v>0</v>
      </c>
      <c r="J10" s="14">
        <f>SUMIF(Fluxo_Diário!$I:$I,Fluxo_Realizado!$B10,Fluxo_Diário!V:V)</f>
        <v>0</v>
      </c>
      <c r="K10" s="14">
        <f>SUMIF(Fluxo_Diário!$I:$I,Fluxo_Realizado!$B10,Fluxo_Diário!W:W)</f>
        <v>0</v>
      </c>
      <c r="L10" s="14">
        <f>SUMIF(Fluxo_Diário!$I:$I,Fluxo_Realizado!$B10,Fluxo_Diário!X:X)</f>
        <v>0</v>
      </c>
      <c r="M10" s="14">
        <f>SUMIF(Fluxo_Diário!$I:$I,Fluxo_Realizado!$B10,Fluxo_Diário!Y:Y)</f>
        <v>0</v>
      </c>
      <c r="N10" s="14">
        <f>SUMIF(Fluxo_Diário!$I:$I,Fluxo_Realizado!$B10,Fluxo_Diário!Z:Z)</f>
        <v>0</v>
      </c>
      <c r="O10" s="14">
        <f>SUMIF(Fluxo_Diário!$I:$I,Fluxo_Realizado!$B10,Fluxo_Diário!AA:AA)</f>
        <v>0</v>
      </c>
      <c r="P10" s="14">
        <f t="shared" si="1"/>
        <v>0</v>
      </c>
      <c r="Q10" s="14">
        <f t="shared" si="2"/>
        <v>0</v>
      </c>
    </row>
    <row r="11" spans="1:17" x14ac:dyDescent="0.25">
      <c r="B11" s="24" t="str">
        <f>'Plano de Contas'!B11</f>
        <v>DESPESAS FIXAS</v>
      </c>
      <c r="C11" s="25">
        <f>SUM(C12:C32)</f>
        <v>-14820</v>
      </c>
      <c r="D11" s="25">
        <f t="shared" ref="D11:O11" si="3">SUM(D12:D32)</f>
        <v>-10767</v>
      </c>
      <c r="E11" s="25">
        <f t="shared" si="3"/>
        <v>-11236</v>
      </c>
      <c r="F11" s="25">
        <f t="shared" si="3"/>
        <v>-13123</v>
      </c>
      <c r="G11" s="25">
        <f t="shared" si="3"/>
        <v>-11170</v>
      </c>
      <c r="H11" s="25">
        <f t="shared" si="3"/>
        <v>-7145</v>
      </c>
      <c r="I11" s="25">
        <f t="shared" si="3"/>
        <v>-6506</v>
      </c>
      <c r="J11" s="25">
        <f t="shared" si="3"/>
        <v>-1355</v>
      </c>
      <c r="K11" s="25">
        <f t="shared" si="3"/>
        <v>0</v>
      </c>
      <c r="L11" s="25">
        <f t="shared" si="3"/>
        <v>0</v>
      </c>
      <c r="M11" s="25">
        <f t="shared" si="3"/>
        <v>0</v>
      </c>
      <c r="N11" s="25">
        <f t="shared" si="3"/>
        <v>0</v>
      </c>
      <c r="O11" s="25">
        <f t="shared" si="3"/>
        <v>0</v>
      </c>
      <c r="P11" s="25">
        <f t="shared" si="1"/>
        <v>-76122</v>
      </c>
      <c r="Q11" s="25">
        <f t="shared" si="2"/>
        <v>-5855.5384615384619</v>
      </c>
    </row>
    <row r="12" spans="1:17" outlineLevel="1" x14ac:dyDescent="0.25">
      <c r="B12" s="8" t="str">
        <f>'Plano de Contas'!B12</f>
        <v>Água</v>
      </c>
      <c r="C12" s="14">
        <f>SUMIF(Fluxo_Diário!$I:$I,Fluxo_Realizado!$B12,Fluxo_Diário!O:O)</f>
        <v>-100</v>
      </c>
      <c r="D12" s="14">
        <f>SUMIF(Fluxo_Diário!$I:$I,Fluxo_Realizado!$B12,Fluxo_Diário!P:P)</f>
        <v>0</v>
      </c>
      <c r="E12" s="14">
        <f>SUMIF(Fluxo_Diário!$I:$I,Fluxo_Realizado!$B12,Fluxo_Diário!Q:Q)</f>
        <v>0</v>
      </c>
      <c r="F12" s="14">
        <f>SUMIF(Fluxo_Diário!$I:$I,Fluxo_Realizado!$B12,Fluxo_Diário!R:R)</f>
        <v>0</v>
      </c>
      <c r="G12" s="14">
        <f>SUMIF(Fluxo_Diário!$I:$I,Fluxo_Realizado!$B12,Fluxo_Diário!S:S)</f>
        <v>0</v>
      </c>
      <c r="H12" s="14">
        <f>SUMIF(Fluxo_Diário!$I:$I,Fluxo_Realizado!$B12,Fluxo_Diário!T:T)</f>
        <v>0</v>
      </c>
      <c r="I12" s="14">
        <f>SUMIF(Fluxo_Diário!$I:$I,Fluxo_Realizado!$B12,Fluxo_Diário!U:U)</f>
        <v>0</v>
      </c>
      <c r="J12" s="14">
        <f>SUMIF(Fluxo_Diário!$I:$I,Fluxo_Realizado!$B12,Fluxo_Diário!V:V)</f>
        <v>0</v>
      </c>
      <c r="K12" s="14">
        <f>SUMIF(Fluxo_Diário!$I:$I,Fluxo_Realizado!$B12,Fluxo_Diário!W:W)</f>
        <v>0</v>
      </c>
      <c r="L12" s="14">
        <f>SUMIF(Fluxo_Diário!$I:$I,Fluxo_Realizado!$B12,Fluxo_Diário!X:X)</f>
        <v>0</v>
      </c>
      <c r="M12" s="14">
        <f>SUMIF(Fluxo_Diário!$I:$I,Fluxo_Realizado!$B12,Fluxo_Diário!Y:Y)</f>
        <v>0</v>
      </c>
      <c r="N12" s="14">
        <f>SUMIF(Fluxo_Diário!$I:$I,Fluxo_Realizado!$B12,Fluxo_Diário!Z:Z)</f>
        <v>0</v>
      </c>
      <c r="O12" s="14">
        <f>SUMIF(Fluxo_Diário!$I:$I,Fluxo_Realizado!$B12,Fluxo_Diário!AA:AA)</f>
        <v>0</v>
      </c>
      <c r="P12" s="14">
        <f t="shared" si="1"/>
        <v>-100</v>
      </c>
      <c r="Q12" s="14">
        <f t="shared" si="2"/>
        <v>-7.6923076923076925</v>
      </c>
    </row>
    <row r="13" spans="1:17" outlineLevel="1" x14ac:dyDescent="0.25">
      <c r="B13" s="8" t="str">
        <f>'Plano de Contas'!B13</f>
        <v>Aluguel</v>
      </c>
      <c r="C13" s="14">
        <f>SUMIF(Fluxo_Diário!$I:$I,Fluxo_Realizado!$B13,Fluxo_Diário!O:O)</f>
        <v>0</v>
      </c>
      <c r="D13" s="14">
        <f>SUMIF(Fluxo_Diário!$I:$I,Fluxo_Realizado!$B13,Fluxo_Diário!P:P)</f>
        <v>0</v>
      </c>
      <c r="E13" s="14">
        <f>SUMIF(Fluxo_Diário!$I:$I,Fluxo_Realizado!$B13,Fluxo_Diário!Q:Q)</f>
        <v>0</v>
      </c>
      <c r="F13" s="14">
        <f>SUMIF(Fluxo_Diário!$I:$I,Fluxo_Realizado!$B13,Fluxo_Diário!R:R)</f>
        <v>0</v>
      </c>
      <c r="G13" s="14">
        <f>SUMIF(Fluxo_Diário!$I:$I,Fluxo_Realizado!$B13,Fluxo_Diário!S:S)</f>
        <v>0</v>
      </c>
      <c r="H13" s="14">
        <f>SUMIF(Fluxo_Diário!$I:$I,Fluxo_Realizado!$B13,Fluxo_Diário!T:T)</f>
        <v>0</v>
      </c>
      <c r="I13" s="14">
        <f>SUMIF(Fluxo_Diário!$I:$I,Fluxo_Realizado!$B13,Fluxo_Diário!U:U)</f>
        <v>0</v>
      </c>
      <c r="J13" s="14">
        <f>SUMIF(Fluxo_Diário!$I:$I,Fluxo_Realizado!$B13,Fluxo_Diário!V:V)</f>
        <v>0</v>
      </c>
      <c r="K13" s="14">
        <f>SUMIF(Fluxo_Diário!$I:$I,Fluxo_Realizado!$B13,Fluxo_Diário!W:W)</f>
        <v>0</v>
      </c>
      <c r="L13" s="14">
        <f>SUMIF(Fluxo_Diário!$I:$I,Fluxo_Realizado!$B13,Fluxo_Diário!X:X)</f>
        <v>0</v>
      </c>
      <c r="M13" s="14">
        <f>SUMIF(Fluxo_Diário!$I:$I,Fluxo_Realizado!$B13,Fluxo_Diário!Y:Y)</f>
        <v>0</v>
      </c>
      <c r="N13" s="14">
        <f>SUMIF(Fluxo_Diário!$I:$I,Fluxo_Realizado!$B13,Fluxo_Diário!Z:Z)</f>
        <v>0</v>
      </c>
      <c r="O13" s="14">
        <f>SUMIF(Fluxo_Diário!$I:$I,Fluxo_Realizado!$B13,Fluxo_Diário!AA:AA)</f>
        <v>0</v>
      </c>
      <c r="P13" s="14">
        <f t="shared" si="1"/>
        <v>0</v>
      </c>
      <c r="Q13" s="14">
        <f t="shared" si="2"/>
        <v>0</v>
      </c>
    </row>
    <row r="14" spans="1:17" outlineLevel="1" x14ac:dyDescent="0.25">
      <c r="B14" s="8" t="str">
        <f>'Plano de Contas'!B14</f>
        <v>Cartório</v>
      </c>
      <c r="C14" s="14">
        <f>SUMIF(Fluxo_Diário!$I:$I,Fluxo_Realizado!$B14,Fluxo_Diário!O:O)</f>
        <v>-20</v>
      </c>
      <c r="D14" s="14">
        <f>SUMIF(Fluxo_Diário!$I:$I,Fluxo_Realizado!$B14,Fluxo_Diário!P:P)</f>
        <v>0</v>
      </c>
      <c r="E14" s="14">
        <f>SUMIF(Fluxo_Diário!$I:$I,Fluxo_Realizado!$B14,Fluxo_Diário!Q:Q)</f>
        <v>0</v>
      </c>
      <c r="F14" s="14">
        <f>SUMIF(Fluxo_Diário!$I:$I,Fluxo_Realizado!$B14,Fluxo_Diário!R:R)</f>
        <v>0</v>
      </c>
      <c r="G14" s="14">
        <f>SUMIF(Fluxo_Diário!$I:$I,Fluxo_Realizado!$B14,Fluxo_Diário!S:S)</f>
        <v>0</v>
      </c>
      <c r="H14" s="14">
        <f>SUMIF(Fluxo_Diário!$I:$I,Fluxo_Realizado!$B14,Fluxo_Diário!T:T)</f>
        <v>0</v>
      </c>
      <c r="I14" s="14">
        <f>SUMIF(Fluxo_Diário!$I:$I,Fluxo_Realizado!$B14,Fluxo_Diário!U:U)</f>
        <v>0</v>
      </c>
      <c r="J14" s="14">
        <f>SUMIF(Fluxo_Diário!$I:$I,Fluxo_Realizado!$B14,Fluxo_Diário!V:V)</f>
        <v>0</v>
      </c>
      <c r="K14" s="14">
        <f>SUMIF(Fluxo_Diário!$I:$I,Fluxo_Realizado!$B14,Fluxo_Diário!W:W)</f>
        <v>0</v>
      </c>
      <c r="L14" s="14">
        <f>SUMIF(Fluxo_Diário!$I:$I,Fluxo_Realizado!$B14,Fluxo_Diário!X:X)</f>
        <v>0</v>
      </c>
      <c r="M14" s="14">
        <f>SUMIF(Fluxo_Diário!$I:$I,Fluxo_Realizado!$B14,Fluxo_Diário!Y:Y)</f>
        <v>0</v>
      </c>
      <c r="N14" s="14">
        <f>SUMIF(Fluxo_Diário!$I:$I,Fluxo_Realizado!$B14,Fluxo_Diário!Z:Z)</f>
        <v>0</v>
      </c>
      <c r="O14" s="14">
        <f>SUMIF(Fluxo_Diário!$I:$I,Fluxo_Realizado!$B14,Fluxo_Diário!AA:AA)</f>
        <v>0</v>
      </c>
      <c r="P14" s="14">
        <f t="shared" si="1"/>
        <v>-20</v>
      </c>
      <c r="Q14" s="14">
        <f t="shared" si="2"/>
        <v>-1.5384615384615385</v>
      </c>
    </row>
    <row r="15" spans="1:17" outlineLevel="1" x14ac:dyDescent="0.25">
      <c r="B15" s="8" t="str">
        <f>'Plano de Contas'!B15</f>
        <v>Combustível</v>
      </c>
      <c r="C15" s="14">
        <f>SUMIF(Fluxo_Diário!$I:$I,Fluxo_Realizado!$B15,Fluxo_Diário!O:O)</f>
        <v>0</v>
      </c>
      <c r="D15" s="14">
        <f>SUMIF(Fluxo_Diário!$I:$I,Fluxo_Realizado!$B15,Fluxo_Diário!P:P)</f>
        <v>0</v>
      </c>
      <c r="E15" s="14">
        <f>SUMIF(Fluxo_Diário!$I:$I,Fluxo_Realizado!$B15,Fluxo_Diário!Q:Q)</f>
        <v>0</v>
      </c>
      <c r="F15" s="14">
        <f>SUMIF(Fluxo_Diário!$I:$I,Fluxo_Realizado!$B15,Fluxo_Diário!R:R)</f>
        <v>0</v>
      </c>
      <c r="G15" s="14">
        <f>SUMIF(Fluxo_Diário!$I:$I,Fluxo_Realizado!$B15,Fluxo_Diário!S:S)</f>
        <v>0</v>
      </c>
      <c r="H15" s="14">
        <f>SUMIF(Fluxo_Diário!$I:$I,Fluxo_Realizado!$B15,Fluxo_Diário!T:T)</f>
        <v>0</v>
      </c>
      <c r="I15" s="14">
        <f>SUMIF(Fluxo_Diário!$I:$I,Fluxo_Realizado!$B15,Fluxo_Diário!U:U)</f>
        <v>0</v>
      </c>
      <c r="J15" s="14">
        <f>SUMIF(Fluxo_Diário!$I:$I,Fluxo_Realizado!$B15,Fluxo_Diário!V:V)</f>
        <v>0</v>
      </c>
      <c r="K15" s="14">
        <f>SUMIF(Fluxo_Diário!$I:$I,Fluxo_Realizado!$B15,Fluxo_Diário!W:W)</f>
        <v>0</v>
      </c>
      <c r="L15" s="14">
        <f>SUMIF(Fluxo_Diário!$I:$I,Fluxo_Realizado!$B15,Fluxo_Diário!X:X)</f>
        <v>0</v>
      </c>
      <c r="M15" s="14">
        <f>SUMIF(Fluxo_Diário!$I:$I,Fluxo_Realizado!$B15,Fluxo_Diário!Y:Y)</f>
        <v>0</v>
      </c>
      <c r="N15" s="14">
        <f>SUMIF(Fluxo_Diário!$I:$I,Fluxo_Realizado!$B15,Fluxo_Diário!Z:Z)</f>
        <v>0</v>
      </c>
      <c r="O15" s="14">
        <f>SUMIF(Fluxo_Diário!$I:$I,Fluxo_Realizado!$B15,Fluxo_Diário!AA:AA)</f>
        <v>0</v>
      </c>
      <c r="P15" s="14">
        <f t="shared" si="1"/>
        <v>0</v>
      </c>
      <c r="Q15" s="14">
        <f t="shared" si="2"/>
        <v>0</v>
      </c>
    </row>
    <row r="16" spans="1:17" outlineLevel="1" x14ac:dyDescent="0.25">
      <c r="B16" s="8" t="str">
        <f>'Plano de Contas'!B16</f>
        <v>Correios</v>
      </c>
      <c r="C16" s="14">
        <f>SUMIF(Fluxo_Diário!$I:$I,Fluxo_Realizado!$B16,Fluxo_Diário!O:O)</f>
        <v>-2284</v>
      </c>
      <c r="D16" s="14">
        <f>SUMIF(Fluxo_Diário!$I:$I,Fluxo_Realizado!$B16,Fluxo_Diário!P:P)</f>
        <v>-524</v>
      </c>
      <c r="E16" s="14">
        <f>SUMIF(Fluxo_Diário!$I:$I,Fluxo_Realizado!$B16,Fluxo_Diário!Q:Q)</f>
        <v>0</v>
      </c>
      <c r="F16" s="14">
        <f>SUMIF(Fluxo_Diário!$I:$I,Fluxo_Realizado!$B16,Fluxo_Diário!R:R)</f>
        <v>0</v>
      </c>
      <c r="G16" s="14">
        <f>SUMIF(Fluxo_Diário!$I:$I,Fluxo_Realizado!$B16,Fluxo_Diário!S:S)</f>
        <v>0</v>
      </c>
      <c r="H16" s="14">
        <f>SUMIF(Fluxo_Diário!$I:$I,Fluxo_Realizado!$B16,Fluxo_Diário!T:T)</f>
        <v>0</v>
      </c>
      <c r="I16" s="14">
        <f>SUMIF(Fluxo_Diário!$I:$I,Fluxo_Realizado!$B16,Fluxo_Diário!U:U)</f>
        <v>0</v>
      </c>
      <c r="J16" s="14">
        <f>SUMIF(Fluxo_Diário!$I:$I,Fluxo_Realizado!$B16,Fluxo_Diário!V:V)</f>
        <v>0</v>
      </c>
      <c r="K16" s="14">
        <f>SUMIF(Fluxo_Diário!$I:$I,Fluxo_Realizado!$B16,Fluxo_Diário!W:W)</f>
        <v>0</v>
      </c>
      <c r="L16" s="14">
        <f>SUMIF(Fluxo_Diário!$I:$I,Fluxo_Realizado!$B16,Fluxo_Diário!X:X)</f>
        <v>0</v>
      </c>
      <c r="M16" s="14">
        <f>SUMIF(Fluxo_Diário!$I:$I,Fluxo_Realizado!$B16,Fluxo_Diário!Y:Y)</f>
        <v>0</v>
      </c>
      <c r="N16" s="14">
        <f>SUMIF(Fluxo_Diário!$I:$I,Fluxo_Realizado!$B16,Fluxo_Diário!Z:Z)</f>
        <v>0</v>
      </c>
      <c r="O16" s="14">
        <f>SUMIF(Fluxo_Diário!$I:$I,Fluxo_Realizado!$B16,Fluxo_Diário!AA:AA)</f>
        <v>0</v>
      </c>
      <c r="P16" s="14">
        <f t="shared" si="1"/>
        <v>-2808</v>
      </c>
      <c r="Q16" s="14">
        <f t="shared" si="2"/>
        <v>-216</v>
      </c>
    </row>
    <row r="17" spans="2:17" outlineLevel="1" x14ac:dyDescent="0.25">
      <c r="B17" s="8" t="str">
        <f>'Plano de Contas'!B17</f>
        <v>Encargos sociais</v>
      </c>
      <c r="C17" s="14">
        <f>SUMIF(Fluxo_Diário!$I:$I,Fluxo_Realizado!$B17,Fluxo_Diário!O:O)</f>
        <v>0</v>
      </c>
      <c r="D17" s="14">
        <f>SUMIF(Fluxo_Diário!$I:$I,Fluxo_Realizado!$B17,Fluxo_Diário!P:P)</f>
        <v>0</v>
      </c>
      <c r="E17" s="14">
        <f>SUMIF(Fluxo_Diário!$I:$I,Fluxo_Realizado!$B17,Fluxo_Diário!Q:Q)</f>
        <v>0</v>
      </c>
      <c r="F17" s="14">
        <f>SUMIF(Fluxo_Diário!$I:$I,Fluxo_Realizado!$B17,Fluxo_Diário!R:R)</f>
        <v>0</v>
      </c>
      <c r="G17" s="14">
        <f>SUMIF(Fluxo_Diário!$I:$I,Fluxo_Realizado!$B17,Fluxo_Diário!S:S)</f>
        <v>0</v>
      </c>
      <c r="H17" s="14">
        <f>SUMIF(Fluxo_Diário!$I:$I,Fluxo_Realizado!$B17,Fluxo_Diário!T:T)</f>
        <v>0</v>
      </c>
      <c r="I17" s="14">
        <f>SUMIF(Fluxo_Diário!$I:$I,Fluxo_Realizado!$B17,Fluxo_Diário!U:U)</f>
        <v>0</v>
      </c>
      <c r="J17" s="14">
        <f>SUMIF(Fluxo_Diário!$I:$I,Fluxo_Realizado!$B17,Fluxo_Diário!V:V)</f>
        <v>0</v>
      </c>
      <c r="K17" s="14">
        <f>SUMIF(Fluxo_Diário!$I:$I,Fluxo_Realizado!$B17,Fluxo_Diário!W:W)</f>
        <v>0</v>
      </c>
      <c r="L17" s="14">
        <f>SUMIF(Fluxo_Diário!$I:$I,Fluxo_Realizado!$B17,Fluxo_Diário!X:X)</f>
        <v>0</v>
      </c>
      <c r="M17" s="14">
        <f>SUMIF(Fluxo_Diário!$I:$I,Fluxo_Realizado!$B17,Fluxo_Diário!Y:Y)</f>
        <v>0</v>
      </c>
      <c r="N17" s="14">
        <f>SUMIF(Fluxo_Diário!$I:$I,Fluxo_Realizado!$B17,Fluxo_Diário!Z:Z)</f>
        <v>0</v>
      </c>
      <c r="O17" s="14">
        <f>SUMIF(Fluxo_Diário!$I:$I,Fluxo_Realizado!$B17,Fluxo_Diário!AA:AA)</f>
        <v>0</v>
      </c>
      <c r="P17" s="14">
        <f t="shared" si="1"/>
        <v>0</v>
      </c>
      <c r="Q17" s="14">
        <f t="shared" si="2"/>
        <v>0</v>
      </c>
    </row>
    <row r="18" spans="2:17" outlineLevel="1" x14ac:dyDescent="0.25">
      <c r="B18" s="8" t="str">
        <f>'Plano de Contas'!B18</f>
        <v>Energia</v>
      </c>
      <c r="C18" s="14">
        <f>SUMIF(Fluxo_Diário!$I:$I,Fluxo_Realizado!$B18,Fluxo_Diário!O:O)</f>
        <v>-4835</v>
      </c>
      <c r="D18" s="14">
        <f>SUMIF(Fluxo_Diário!$I:$I,Fluxo_Realizado!$B18,Fluxo_Diário!P:P)</f>
        <v>0</v>
      </c>
      <c r="E18" s="14">
        <f>SUMIF(Fluxo_Diário!$I:$I,Fluxo_Realizado!$B18,Fluxo_Diário!Q:Q)</f>
        <v>0</v>
      </c>
      <c r="F18" s="14">
        <f>SUMIF(Fluxo_Diário!$I:$I,Fluxo_Realizado!$B18,Fluxo_Diário!R:R)</f>
        <v>0</v>
      </c>
      <c r="G18" s="14">
        <f>SUMIF(Fluxo_Diário!$I:$I,Fluxo_Realizado!$B18,Fluxo_Diário!S:S)</f>
        <v>0</v>
      </c>
      <c r="H18" s="14">
        <f>SUMIF(Fluxo_Diário!$I:$I,Fluxo_Realizado!$B18,Fluxo_Diário!T:T)</f>
        <v>0</v>
      </c>
      <c r="I18" s="14">
        <f>SUMIF(Fluxo_Diário!$I:$I,Fluxo_Realizado!$B18,Fluxo_Diário!U:U)</f>
        <v>0</v>
      </c>
      <c r="J18" s="14">
        <f>SUMIF(Fluxo_Diário!$I:$I,Fluxo_Realizado!$B18,Fluxo_Diário!V:V)</f>
        <v>0</v>
      </c>
      <c r="K18" s="14">
        <f>SUMIF(Fluxo_Diário!$I:$I,Fluxo_Realizado!$B18,Fluxo_Diário!W:W)</f>
        <v>0</v>
      </c>
      <c r="L18" s="14">
        <f>SUMIF(Fluxo_Diário!$I:$I,Fluxo_Realizado!$B18,Fluxo_Diário!X:X)</f>
        <v>0</v>
      </c>
      <c r="M18" s="14">
        <f>SUMIF(Fluxo_Diário!$I:$I,Fluxo_Realizado!$B18,Fluxo_Diário!Y:Y)</f>
        <v>0</v>
      </c>
      <c r="N18" s="14">
        <f>SUMIF(Fluxo_Diário!$I:$I,Fluxo_Realizado!$B18,Fluxo_Diário!Z:Z)</f>
        <v>0</v>
      </c>
      <c r="O18" s="14">
        <f>SUMIF(Fluxo_Diário!$I:$I,Fluxo_Realizado!$B18,Fluxo_Diário!AA:AA)</f>
        <v>0</v>
      </c>
      <c r="P18" s="14">
        <f t="shared" si="1"/>
        <v>-4835</v>
      </c>
      <c r="Q18" s="14">
        <f t="shared" si="2"/>
        <v>-371.92307692307691</v>
      </c>
    </row>
    <row r="19" spans="2:17" outlineLevel="1" x14ac:dyDescent="0.25">
      <c r="B19" s="8" t="str">
        <f>'Plano de Contas'!B19</f>
        <v>Fones / Comunicação</v>
      </c>
      <c r="C19" s="14">
        <f>SUMIF(Fluxo_Diário!$I:$I,Fluxo_Realizado!$B19,Fluxo_Diário!O:O)</f>
        <v>-3164</v>
      </c>
      <c r="D19" s="14">
        <f>SUMIF(Fluxo_Diário!$I:$I,Fluxo_Realizado!$B19,Fluxo_Diário!P:P)</f>
        <v>-1836</v>
      </c>
      <c r="E19" s="14">
        <f>SUMIF(Fluxo_Diário!$I:$I,Fluxo_Realizado!$B19,Fluxo_Diário!Q:Q)</f>
        <v>-1556</v>
      </c>
      <c r="F19" s="14">
        <f>SUMIF(Fluxo_Diário!$I:$I,Fluxo_Realizado!$B19,Fluxo_Diário!R:R)</f>
        <v>-3955</v>
      </c>
      <c r="G19" s="14">
        <f>SUMIF(Fluxo_Diário!$I:$I,Fluxo_Realizado!$B19,Fluxo_Diário!S:S)</f>
        <v>0</v>
      </c>
      <c r="H19" s="14">
        <f>SUMIF(Fluxo_Diário!$I:$I,Fluxo_Realizado!$B19,Fluxo_Diário!T:T)</f>
        <v>0</v>
      </c>
      <c r="I19" s="14">
        <f>SUMIF(Fluxo_Diário!$I:$I,Fluxo_Realizado!$B19,Fluxo_Diário!U:U)</f>
        <v>-2364</v>
      </c>
      <c r="J19" s="14">
        <f>SUMIF(Fluxo_Diário!$I:$I,Fluxo_Realizado!$B19,Fluxo_Diário!V:V)</f>
        <v>0</v>
      </c>
      <c r="K19" s="14">
        <f>SUMIF(Fluxo_Diário!$I:$I,Fluxo_Realizado!$B19,Fluxo_Diário!W:W)</f>
        <v>0</v>
      </c>
      <c r="L19" s="14">
        <f>SUMIF(Fluxo_Diário!$I:$I,Fluxo_Realizado!$B19,Fluxo_Diário!X:X)</f>
        <v>0</v>
      </c>
      <c r="M19" s="14">
        <f>SUMIF(Fluxo_Diário!$I:$I,Fluxo_Realizado!$B19,Fluxo_Diário!Y:Y)</f>
        <v>0</v>
      </c>
      <c r="N19" s="14">
        <f>SUMIF(Fluxo_Diário!$I:$I,Fluxo_Realizado!$B19,Fluxo_Diário!Z:Z)</f>
        <v>0</v>
      </c>
      <c r="O19" s="14">
        <f>SUMIF(Fluxo_Diário!$I:$I,Fluxo_Realizado!$B19,Fluxo_Diário!AA:AA)</f>
        <v>0</v>
      </c>
      <c r="P19" s="14">
        <f t="shared" si="1"/>
        <v>-12875</v>
      </c>
      <c r="Q19" s="14">
        <f t="shared" si="2"/>
        <v>-990.38461538461536</v>
      </c>
    </row>
    <row r="20" spans="2:17" outlineLevel="1" x14ac:dyDescent="0.25">
      <c r="B20" s="8" t="str">
        <f>'Plano de Contas'!B20</f>
        <v>Impostos/taxas diversas</v>
      </c>
      <c r="C20" s="14">
        <f>SUMIF(Fluxo_Diário!$I:$I,Fluxo_Realizado!$B20,Fluxo_Diário!O:O)</f>
        <v>-2037</v>
      </c>
      <c r="D20" s="14">
        <f>SUMIF(Fluxo_Diário!$I:$I,Fluxo_Realizado!$B20,Fluxo_Diário!P:P)</f>
        <v>-230</v>
      </c>
      <c r="E20" s="14">
        <f>SUMIF(Fluxo_Diário!$I:$I,Fluxo_Realizado!$B20,Fluxo_Diário!Q:Q)</f>
        <v>-1980</v>
      </c>
      <c r="F20" s="14">
        <f>SUMIF(Fluxo_Diário!$I:$I,Fluxo_Realizado!$B20,Fluxo_Diário!R:R)</f>
        <v>-2452</v>
      </c>
      <c r="G20" s="14">
        <f>SUMIF(Fluxo_Diário!$I:$I,Fluxo_Realizado!$B20,Fluxo_Diário!S:S)</f>
        <v>0</v>
      </c>
      <c r="H20" s="14">
        <f>SUMIF(Fluxo_Diário!$I:$I,Fluxo_Realizado!$B20,Fluxo_Diário!T:T)</f>
        <v>0</v>
      </c>
      <c r="I20" s="14">
        <f>SUMIF(Fluxo_Diário!$I:$I,Fluxo_Realizado!$B20,Fluxo_Diário!U:U)</f>
        <v>0</v>
      </c>
      <c r="J20" s="14">
        <f>SUMIF(Fluxo_Diário!$I:$I,Fluxo_Realizado!$B20,Fluxo_Diário!V:V)</f>
        <v>-1355</v>
      </c>
      <c r="K20" s="14">
        <f>SUMIF(Fluxo_Diário!$I:$I,Fluxo_Realizado!$B20,Fluxo_Diário!W:W)</f>
        <v>0</v>
      </c>
      <c r="L20" s="14">
        <f>SUMIF(Fluxo_Diário!$I:$I,Fluxo_Realizado!$B20,Fluxo_Diário!X:X)</f>
        <v>0</v>
      </c>
      <c r="M20" s="14">
        <f>SUMIF(Fluxo_Diário!$I:$I,Fluxo_Realizado!$B20,Fluxo_Diário!Y:Y)</f>
        <v>0</v>
      </c>
      <c r="N20" s="14">
        <f>SUMIF(Fluxo_Diário!$I:$I,Fluxo_Realizado!$B20,Fluxo_Diário!Z:Z)</f>
        <v>0</v>
      </c>
      <c r="O20" s="14">
        <f>SUMIF(Fluxo_Diário!$I:$I,Fluxo_Realizado!$B20,Fluxo_Diário!AA:AA)</f>
        <v>0</v>
      </c>
      <c r="P20" s="14">
        <f t="shared" si="1"/>
        <v>-8054</v>
      </c>
      <c r="Q20" s="14">
        <f t="shared" si="2"/>
        <v>-619.53846153846155</v>
      </c>
    </row>
    <row r="21" spans="2:17" outlineLevel="1" x14ac:dyDescent="0.25">
      <c r="B21" s="8" t="str">
        <f>'Plano de Contas'!B21</f>
        <v>Manutenção equipamentos</v>
      </c>
      <c r="C21" s="14">
        <f>SUMIF(Fluxo_Diário!$I:$I,Fluxo_Realizado!$B21,Fluxo_Diário!O:O)</f>
        <v>-1000</v>
      </c>
      <c r="D21" s="14">
        <f>SUMIF(Fluxo_Diário!$I:$I,Fluxo_Realizado!$B21,Fluxo_Diário!P:P)</f>
        <v>0</v>
      </c>
      <c r="E21" s="14">
        <f>SUMIF(Fluxo_Diário!$I:$I,Fluxo_Realizado!$B21,Fluxo_Diário!Q:Q)</f>
        <v>0</v>
      </c>
      <c r="F21" s="14">
        <f>SUMIF(Fluxo_Diário!$I:$I,Fluxo_Realizado!$B21,Fluxo_Diário!R:R)</f>
        <v>0</v>
      </c>
      <c r="G21" s="14">
        <f>SUMIF(Fluxo_Diário!$I:$I,Fluxo_Realizado!$B21,Fluxo_Diário!S:S)</f>
        <v>0</v>
      </c>
      <c r="H21" s="14">
        <f>SUMIF(Fluxo_Diário!$I:$I,Fluxo_Realizado!$B21,Fluxo_Diário!T:T)</f>
        <v>0</v>
      </c>
      <c r="I21" s="14">
        <f>SUMIF(Fluxo_Diário!$I:$I,Fluxo_Realizado!$B21,Fluxo_Diário!U:U)</f>
        <v>0</v>
      </c>
      <c r="J21" s="14">
        <f>SUMIF(Fluxo_Diário!$I:$I,Fluxo_Realizado!$B21,Fluxo_Diário!V:V)</f>
        <v>0</v>
      </c>
      <c r="K21" s="14">
        <f>SUMIF(Fluxo_Diário!$I:$I,Fluxo_Realizado!$B21,Fluxo_Diário!W:W)</f>
        <v>0</v>
      </c>
      <c r="L21" s="14">
        <f>SUMIF(Fluxo_Diário!$I:$I,Fluxo_Realizado!$B21,Fluxo_Diário!X:X)</f>
        <v>0</v>
      </c>
      <c r="M21" s="14">
        <f>SUMIF(Fluxo_Diário!$I:$I,Fluxo_Realizado!$B21,Fluxo_Diário!Y:Y)</f>
        <v>0</v>
      </c>
      <c r="N21" s="14">
        <f>SUMIF(Fluxo_Diário!$I:$I,Fluxo_Realizado!$B21,Fluxo_Diário!Z:Z)</f>
        <v>0</v>
      </c>
      <c r="O21" s="14">
        <f>SUMIF(Fluxo_Diário!$I:$I,Fluxo_Realizado!$B21,Fluxo_Diário!AA:AA)</f>
        <v>0</v>
      </c>
      <c r="P21" s="14">
        <f t="shared" si="1"/>
        <v>-1000</v>
      </c>
      <c r="Q21" s="14">
        <f t="shared" si="2"/>
        <v>-76.92307692307692</v>
      </c>
    </row>
    <row r="22" spans="2:17" outlineLevel="1" x14ac:dyDescent="0.25">
      <c r="B22" s="8" t="str">
        <f>'Plano de Contas'!B22</f>
        <v>Manutenção prédio</v>
      </c>
      <c r="C22" s="14">
        <f>SUMIF(Fluxo_Diário!$I:$I,Fluxo_Realizado!$B22,Fluxo_Diário!O:O)</f>
        <v>-50</v>
      </c>
      <c r="D22" s="14">
        <f>SUMIF(Fluxo_Diário!$I:$I,Fluxo_Realizado!$B22,Fluxo_Diário!P:P)</f>
        <v>0</v>
      </c>
      <c r="E22" s="14">
        <f>SUMIF(Fluxo_Diário!$I:$I,Fluxo_Realizado!$B22,Fluxo_Diário!Q:Q)</f>
        <v>0</v>
      </c>
      <c r="F22" s="14">
        <f>SUMIF(Fluxo_Diário!$I:$I,Fluxo_Realizado!$B22,Fluxo_Diário!R:R)</f>
        <v>0</v>
      </c>
      <c r="G22" s="14">
        <f>SUMIF(Fluxo_Diário!$I:$I,Fluxo_Realizado!$B22,Fluxo_Diário!S:S)</f>
        <v>0</v>
      </c>
      <c r="H22" s="14">
        <f>SUMIF(Fluxo_Diário!$I:$I,Fluxo_Realizado!$B22,Fluxo_Diário!T:T)</f>
        <v>0</v>
      </c>
      <c r="I22" s="14">
        <f>SUMIF(Fluxo_Diário!$I:$I,Fluxo_Realizado!$B22,Fluxo_Diário!U:U)</f>
        <v>0</v>
      </c>
      <c r="J22" s="14">
        <f>SUMIF(Fluxo_Diário!$I:$I,Fluxo_Realizado!$B22,Fluxo_Diário!V:V)</f>
        <v>0</v>
      </c>
      <c r="K22" s="14">
        <f>SUMIF(Fluxo_Diário!$I:$I,Fluxo_Realizado!$B22,Fluxo_Diário!W:W)</f>
        <v>0</v>
      </c>
      <c r="L22" s="14">
        <f>SUMIF(Fluxo_Diário!$I:$I,Fluxo_Realizado!$B22,Fluxo_Diário!X:X)</f>
        <v>0</v>
      </c>
      <c r="M22" s="14">
        <f>SUMIF(Fluxo_Diário!$I:$I,Fluxo_Realizado!$B22,Fluxo_Diário!Y:Y)</f>
        <v>0</v>
      </c>
      <c r="N22" s="14">
        <f>SUMIF(Fluxo_Diário!$I:$I,Fluxo_Realizado!$B22,Fluxo_Diário!Z:Z)</f>
        <v>0</v>
      </c>
      <c r="O22" s="14">
        <f>SUMIF(Fluxo_Diário!$I:$I,Fluxo_Realizado!$B22,Fluxo_Diário!AA:AA)</f>
        <v>0</v>
      </c>
      <c r="P22" s="14">
        <f t="shared" si="1"/>
        <v>-50</v>
      </c>
      <c r="Q22" s="14">
        <f t="shared" si="2"/>
        <v>-3.8461538461538463</v>
      </c>
    </row>
    <row r="23" spans="2:17" outlineLevel="1" x14ac:dyDescent="0.25">
      <c r="B23" s="8" t="str">
        <f>'Plano de Contas'!B23</f>
        <v>Material escritório</v>
      </c>
      <c r="C23" s="14">
        <f>SUMIF(Fluxo_Diário!$I:$I,Fluxo_Realizado!$B23,Fluxo_Diário!O:O)</f>
        <v>-30</v>
      </c>
      <c r="D23" s="14">
        <f>SUMIF(Fluxo_Diário!$I:$I,Fluxo_Realizado!$B23,Fluxo_Diário!P:P)</f>
        <v>0</v>
      </c>
      <c r="E23" s="14">
        <f>SUMIF(Fluxo_Diário!$I:$I,Fluxo_Realizado!$B23,Fluxo_Diário!Q:Q)</f>
        <v>-3227</v>
      </c>
      <c r="F23" s="14">
        <f>SUMIF(Fluxo_Diário!$I:$I,Fluxo_Realizado!$B23,Fluxo_Diário!R:R)</f>
        <v>-1484</v>
      </c>
      <c r="G23" s="14">
        <f>SUMIF(Fluxo_Diário!$I:$I,Fluxo_Realizado!$B23,Fluxo_Diário!S:S)</f>
        <v>-1626</v>
      </c>
      <c r="H23" s="14">
        <f>SUMIF(Fluxo_Diário!$I:$I,Fluxo_Realizado!$B23,Fluxo_Diário!T:T)</f>
        <v>0</v>
      </c>
      <c r="I23" s="14">
        <f>SUMIF(Fluxo_Diário!$I:$I,Fluxo_Realizado!$B23,Fluxo_Diário!U:U)</f>
        <v>0</v>
      </c>
      <c r="J23" s="14">
        <f>SUMIF(Fluxo_Diário!$I:$I,Fluxo_Realizado!$B23,Fluxo_Diário!V:V)</f>
        <v>0</v>
      </c>
      <c r="K23" s="14">
        <f>SUMIF(Fluxo_Diário!$I:$I,Fluxo_Realizado!$B23,Fluxo_Diário!W:W)</f>
        <v>0</v>
      </c>
      <c r="L23" s="14">
        <f>SUMIF(Fluxo_Diário!$I:$I,Fluxo_Realizado!$B23,Fluxo_Diário!X:X)</f>
        <v>0</v>
      </c>
      <c r="M23" s="14">
        <f>SUMIF(Fluxo_Diário!$I:$I,Fluxo_Realizado!$B23,Fluxo_Diário!Y:Y)</f>
        <v>0</v>
      </c>
      <c r="N23" s="14">
        <f>SUMIF(Fluxo_Diário!$I:$I,Fluxo_Realizado!$B23,Fluxo_Diário!Z:Z)</f>
        <v>0</v>
      </c>
      <c r="O23" s="14">
        <f>SUMIF(Fluxo_Diário!$I:$I,Fluxo_Realizado!$B23,Fluxo_Diário!AA:AA)</f>
        <v>0</v>
      </c>
      <c r="P23" s="14">
        <f t="shared" si="1"/>
        <v>-6367</v>
      </c>
      <c r="Q23" s="14">
        <f t="shared" si="2"/>
        <v>-489.76923076923077</v>
      </c>
    </row>
    <row r="24" spans="2:17" outlineLevel="1" x14ac:dyDescent="0.25">
      <c r="B24" s="8" t="str">
        <f>'Plano de Contas'!B24</f>
        <v>Material limpeza</v>
      </c>
      <c r="C24" s="14">
        <f>SUMIF(Fluxo_Diário!$I:$I,Fluxo_Realizado!$B24,Fluxo_Diário!O:O)</f>
        <v>-500</v>
      </c>
      <c r="D24" s="14">
        <f>SUMIF(Fluxo_Diário!$I:$I,Fluxo_Realizado!$B24,Fluxo_Diário!P:P)</f>
        <v>0</v>
      </c>
      <c r="E24" s="14">
        <f>SUMIF(Fluxo_Diário!$I:$I,Fluxo_Realizado!$B24,Fluxo_Diário!Q:Q)</f>
        <v>0</v>
      </c>
      <c r="F24" s="14">
        <f>SUMIF(Fluxo_Diário!$I:$I,Fluxo_Realizado!$B24,Fluxo_Diário!R:R)</f>
        <v>0</v>
      </c>
      <c r="G24" s="14">
        <f>SUMIF(Fluxo_Diário!$I:$I,Fluxo_Realizado!$B24,Fluxo_Diário!S:S)</f>
        <v>0</v>
      </c>
      <c r="H24" s="14">
        <f>SUMIF(Fluxo_Diário!$I:$I,Fluxo_Realizado!$B24,Fluxo_Diário!T:T)</f>
        <v>0</v>
      </c>
      <c r="I24" s="14">
        <f>SUMIF(Fluxo_Diário!$I:$I,Fluxo_Realizado!$B24,Fluxo_Diário!U:U)</f>
        <v>0</v>
      </c>
      <c r="J24" s="14">
        <f>SUMIF(Fluxo_Diário!$I:$I,Fluxo_Realizado!$B24,Fluxo_Diário!V:V)</f>
        <v>0</v>
      </c>
      <c r="K24" s="14">
        <f>SUMIF(Fluxo_Diário!$I:$I,Fluxo_Realizado!$B24,Fluxo_Diário!W:W)</f>
        <v>0</v>
      </c>
      <c r="L24" s="14">
        <f>SUMIF(Fluxo_Diário!$I:$I,Fluxo_Realizado!$B24,Fluxo_Diário!X:X)</f>
        <v>0</v>
      </c>
      <c r="M24" s="14">
        <f>SUMIF(Fluxo_Diário!$I:$I,Fluxo_Realizado!$B24,Fluxo_Diário!Y:Y)</f>
        <v>0</v>
      </c>
      <c r="N24" s="14">
        <f>SUMIF(Fluxo_Diário!$I:$I,Fluxo_Realizado!$B24,Fluxo_Diário!Z:Z)</f>
        <v>0</v>
      </c>
      <c r="O24" s="14">
        <f>SUMIF(Fluxo_Diário!$I:$I,Fluxo_Realizado!$B24,Fluxo_Diário!AA:AA)</f>
        <v>0</v>
      </c>
      <c r="P24" s="14">
        <f t="shared" si="1"/>
        <v>-500</v>
      </c>
      <c r="Q24" s="14">
        <f t="shared" si="2"/>
        <v>-38.46153846153846</v>
      </c>
    </row>
    <row r="25" spans="2:17" outlineLevel="1" x14ac:dyDescent="0.25">
      <c r="B25" s="8" t="str">
        <f>'Plano de Contas'!B25</f>
        <v>Outras DFs</v>
      </c>
      <c r="C25" s="14">
        <f>SUMIF(Fluxo_Diário!$I:$I,Fluxo_Realizado!$B25,Fluxo_Diário!O:O)</f>
        <v>0</v>
      </c>
      <c r="D25" s="14">
        <f>SUMIF(Fluxo_Diário!$I:$I,Fluxo_Realizado!$B25,Fluxo_Diário!P:P)</f>
        <v>-606</v>
      </c>
      <c r="E25" s="14">
        <f>SUMIF(Fluxo_Diário!$I:$I,Fluxo_Realizado!$B25,Fluxo_Diário!Q:Q)</f>
        <v>0</v>
      </c>
      <c r="F25" s="14">
        <f>SUMIF(Fluxo_Diário!$I:$I,Fluxo_Realizado!$B25,Fluxo_Diário!R:R)</f>
        <v>0</v>
      </c>
      <c r="G25" s="14">
        <f>SUMIF(Fluxo_Diário!$I:$I,Fluxo_Realizado!$B25,Fluxo_Diário!S:S)</f>
        <v>0</v>
      </c>
      <c r="H25" s="14">
        <f>SUMIF(Fluxo_Diário!$I:$I,Fluxo_Realizado!$B25,Fluxo_Diário!T:T)</f>
        <v>0</v>
      </c>
      <c r="I25" s="14">
        <f>SUMIF(Fluxo_Diário!$I:$I,Fluxo_Realizado!$B25,Fluxo_Diário!U:U)</f>
        <v>-314</v>
      </c>
      <c r="J25" s="14">
        <f>SUMIF(Fluxo_Diário!$I:$I,Fluxo_Realizado!$B25,Fluxo_Diário!V:V)</f>
        <v>0</v>
      </c>
      <c r="K25" s="14">
        <f>SUMIF(Fluxo_Diário!$I:$I,Fluxo_Realizado!$B25,Fluxo_Diário!W:W)</f>
        <v>0</v>
      </c>
      <c r="L25" s="14">
        <f>SUMIF(Fluxo_Diário!$I:$I,Fluxo_Realizado!$B25,Fluxo_Diário!X:X)</f>
        <v>0</v>
      </c>
      <c r="M25" s="14">
        <f>SUMIF(Fluxo_Diário!$I:$I,Fluxo_Realizado!$B25,Fluxo_Diário!Y:Y)</f>
        <v>0</v>
      </c>
      <c r="N25" s="14">
        <f>SUMIF(Fluxo_Diário!$I:$I,Fluxo_Realizado!$B25,Fluxo_Diário!Z:Z)</f>
        <v>0</v>
      </c>
      <c r="O25" s="14">
        <f>SUMIF(Fluxo_Diário!$I:$I,Fluxo_Realizado!$B25,Fluxo_Diário!AA:AA)</f>
        <v>0</v>
      </c>
      <c r="P25" s="14">
        <f t="shared" si="1"/>
        <v>-920</v>
      </c>
      <c r="Q25" s="14">
        <f t="shared" si="2"/>
        <v>-70.769230769230774</v>
      </c>
    </row>
    <row r="26" spans="2:17" outlineLevel="1" x14ac:dyDescent="0.25">
      <c r="B26" s="8" t="str">
        <f>'Plano de Contas'!B26</f>
        <v>Pro-labore</v>
      </c>
      <c r="C26" s="14">
        <f>SUMIF(Fluxo_Diário!$I:$I,Fluxo_Realizado!$B26,Fluxo_Diário!O:O)</f>
        <v>0</v>
      </c>
      <c r="D26" s="14">
        <f>SUMIF(Fluxo_Diário!$I:$I,Fluxo_Realizado!$B26,Fluxo_Diário!P:P)</f>
        <v>-846</v>
      </c>
      <c r="E26" s="14">
        <f>SUMIF(Fluxo_Diário!$I:$I,Fluxo_Realizado!$B26,Fluxo_Diário!Q:Q)</f>
        <v>-1735</v>
      </c>
      <c r="F26" s="14">
        <f>SUMIF(Fluxo_Diário!$I:$I,Fluxo_Realizado!$B26,Fluxo_Diário!R:R)</f>
        <v>-482</v>
      </c>
      <c r="G26" s="14">
        <f>SUMIF(Fluxo_Diário!$I:$I,Fluxo_Realizado!$B26,Fluxo_Diário!S:S)</f>
        <v>0</v>
      </c>
      <c r="H26" s="14">
        <f>SUMIF(Fluxo_Diário!$I:$I,Fluxo_Realizado!$B26,Fluxo_Diário!T:T)</f>
        <v>-3071</v>
      </c>
      <c r="I26" s="14">
        <f>SUMIF(Fluxo_Diário!$I:$I,Fluxo_Realizado!$B26,Fluxo_Diário!U:U)</f>
        <v>0</v>
      </c>
      <c r="J26" s="14">
        <f>SUMIF(Fluxo_Diário!$I:$I,Fluxo_Realizado!$B26,Fluxo_Diário!V:V)</f>
        <v>0</v>
      </c>
      <c r="K26" s="14">
        <f>SUMIF(Fluxo_Diário!$I:$I,Fluxo_Realizado!$B26,Fluxo_Diário!W:W)</f>
        <v>0</v>
      </c>
      <c r="L26" s="14">
        <f>SUMIF(Fluxo_Diário!$I:$I,Fluxo_Realizado!$B26,Fluxo_Diário!X:X)</f>
        <v>0</v>
      </c>
      <c r="M26" s="14">
        <f>SUMIF(Fluxo_Diário!$I:$I,Fluxo_Realizado!$B26,Fluxo_Diário!Y:Y)</f>
        <v>0</v>
      </c>
      <c r="N26" s="14">
        <f>SUMIF(Fluxo_Diário!$I:$I,Fluxo_Realizado!$B26,Fluxo_Diário!Z:Z)</f>
        <v>0</v>
      </c>
      <c r="O26" s="14">
        <f>SUMIF(Fluxo_Diário!$I:$I,Fluxo_Realizado!$B26,Fluxo_Diário!AA:AA)</f>
        <v>0</v>
      </c>
      <c r="P26" s="14">
        <f t="shared" si="1"/>
        <v>-6134</v>
      </c>
      <c r="Q26" s="14">
        <f t="shared" si="2"/>
        <v>-471.84615384615387</v>
      </c>
    </row>
    <row r="27" spans="2:17" outlineLevel="1" x14ac:dyDescent="0.25">
      <c r="B27" s="8" t="str">
        <f>'Plano de Contas'!B27</f>
        <v>Propaganda</v>
      </c>
      <c r="C27" s="14">
        <f>SUMIF(Fluxo_Diário!$I:$I,Fluxo_Realizado!$B27,Fluxo_Diário!O:O)</f>
        <v>0</v>
      </c>
      <c r="D27" s="14">
        <f>SUMIF(Fluxo_Diário!$I:$I,Fluxo_Realizado!$B27,Fluxo_Diário!P:P)</f>
        <v>0</v>
      </c>
      <c r="E27" s="14">
        <f>SUMIF(Fluxo_Diário!$I:$I,Fluxo_Realizado!$B27,Fluxo_Diário!Q:Q)</f>
        <v>0</v>
      </c>
      <c r="F27" s="14">
        <f>SUMIF(Fluxo_Diário!$I:$I,Fluxo_Realizado!$B27,Fluxo_Diário!R:R)</f>
        <v>0</v>
      </c>
      <c r="G27" s="14">
        <f>SUMIF(Fluxo_Diário!$I:$I,Fluxo_Realizado!$B27,Fluxo_Diário!S:S)</f>
        <v>-2384</v>
      </c>
      <c r="H27" s="14">
        <f>SUMIF(Fluxo_Diário!$I:$I,Fluxo_Realizado!$B27,Fluxo_Diário!T:T)</f>
        <v>0</v>
      </c>
      <c r="I27" s="14">
        <f>SUMIF(Fluxo_Diário!$I:$I,Fluxo_Realizado!$B27,Fluxo_Diário!U:U)</f>
        <v>0</v>
      </c>
      <c r="J27" s="14">
        <f>SUMIF(Fluxo_Diário!$I:$I,Fluxo_Realizado!$B27,Fluxo_Diário!V:V)</f>
        <v>0</v>
      </c>
      <c r="K27" s="14">
        <f>SUMIF(Fluxo_Diário!$I:$I,Fluxo_Realizado!$B27,Fluxo_Diário!W:W)</f>
        <v>0</v>
      </c>
      <c r="L27" s="14">
        <f>SUMIF(Fluxo_Diário!$I:$I,Fluxo_Realizado!$B27,Fluxo_Diário!X:X)</f>
        <v>0</v>
      </c>
      <c r="M27" s="14">
        <f>SUMIF(Fluxo_Diário!$I:$I,Fluxo_Realizado!$B27,Fluxo_Diário!Y:Y)</f>
        <v>0</v>
      </c>
      <c r="N27" s="14">
        <f>SUMIF(Fluxo_Diário!$I:$I,Fluxo_Realizado!$B27,Fluxo_Diário!Z:Z)</f>
        <v>0</v>
      </c>
      <c r="O27" s="14">
        <f>SUMIF(Fluxo_Diário!$I:$I,Fluxo_Realizado!$B27,Fluxo_Diário!AA:AA)</f>
        <v>0</v>
      </c>
      <c r="P27" s="14">
        <f t="shared" si="1"/>
        <v>-2384</v>
      </c>
      <c r="Q27" s="14">
        <f t="shared" si="2"/>
        <v>-183.38461538461539</v>
      </c>
    </row>
    <row r="28" spans="2:17" outlineLevel="1" x14ac:dyDescent="0.25">
      <c r="B28" s="8" t="str">
        <f>'Plano de Contas'!B28</f>
        <v>Salários</v>
      </c>
      <c r="C28" s="14">
        <f>SUMIF(Fluxo_Diário!$I:$I,Fluxo_Realizado!$B28,Fluxo_Diário!O:O)</f>
        <v>0</v>
      </c>
      <c r="D28" s="14">
        <f>SUMIF(Fluxo_Diário!$I:$I,Fluxo_Realizado!$B28,Fluxo_Diário!P:P)</f>
        <v>0</v>
      </c>
      <c r="E28" s="14">
        <f>SUMIF(Fluxo_Diário!$I:$I,Fluxo_Realizado!$B28,Fluxo_Diário!Q:Q)</f>
        <v>0</v>
      </c>
      <c r="F28" s="14">
        <f>SUMIF(Fluxo_Diário!$I:$I,Fluxo_Realizado!$B28,Fluxo_Diário!R:R)</f>
        <v>0</v>
      </c>
      <c r="G28" s="14">
        <f>SUMIF(Fluxo_Diário!$I:$I,Fluxo_Realizado!$B28,Fluxo_Diário!S:S)</f>
        <v>-1319</v>
      </c>
      <c r="H28" s="14">
        <f>SUMIF(Fluxo_Diário!$I:$I,Fluxo_Realizado!$B28,Fluxo_Diário!T:T)</f>
        <v>0</v>
      </c>
      <c r="I28" s="14">
        <f>SUMIF(Fluxo_Diário!$I:$I,Fluxo_Realizado!$B28,Fluxo_Diário!U:U)</f>
        <v>-3571</v>
      </c>
      <c r="J28" s="14">
        <f>SUMIF(Fluxo_Diário!$I:$I,Fluxo_Realizado!$B28,Fluxo_Diário!V:V)</f>
        <v>0</v>
      </c>
      <c r="K28" s="14">
        <f>SUMIF(Fluxo_Diário!$I:$I,Fluxo_Realizado!$B28,Fluxo_Diário!W:W)</f>
        <v>0</v>
      </c>
      <c r="L28" s="14">
        <f>SUMIF(Fluxo_Diário!$I:$I,Fluxo_Realizado!$B28,Fluxo_Diário!X:X)</f>
        <v>0</v>
      </c>
      <c r="M28" s="14">
        <f>SUMIF(Fluxo_Diário!$I:$I,Fluxo_Realizado!$B28,Fluxo_Diário!Y:Y)</f>
        <v>0</v>
      </c>
      <c r="N28" s="14">
        <f>SUMIF(Fluxo_Diário!$I:$I,Fluxo_Realizado!$B28,Fluxo_Diário!Z:Z)</f>
        <v>0</v>
      </c>
      <c r="O28" s="14">
        <f>SUMIF(Fluxo_Diário!$I:$I,Fluxo_Realizado!$B28,Fluxo_Diário!AA:AA)</f>
        <v>0</v>
      </c>
      <c r="P28" s="14">
        <f t="shared" si="1"/>
        <v>-4890</v>
      </c>
      <c r="Q28" s="14">
        <f t="shared" si="2"/>
        <v>-376.15384615384613</v>
      </c>
    </row>
    <row r="29" spans="2:17" outlineLevel="1" x14ac:dyDescent="0.25">
      <c r="B29" s="8" t="str">
        <f>'Plano de Contas'!B29</f>
        <v>Segurança</v>
      </c>
      <c r="C29" s="14">
        <f>SUMIF(Fluxo_Diário!$I:$I,Fluxo_Realizado!$B29,Fluxo_Diário!O:O)</f>
        <v>0</v>
      </c>
      <c r="D29" s="14">
        <f>SUMIF(Fluxo_Diário!$I:$I,Fluxo_Realizado!$B29,Fluxo_Diário!P:P)</f>
        <v>-5106</v>
      </c>
      <c r="E29" s="14">
        <f>SUMIF(Fluxo_Diário!$I:$I,Fluxo_Realizado!$B29,Fluxo_Diário!Q:Q)</f>
        <v>-2738</v>
      </c>
      <c r="F29" s="14">
        <f>SUMIF(Fluxo_Diário!$I:$I,Fluxo_Realizado!$B29,Fluxo_Diário!R:R)</f>
        <v>-4750</v>
      </c>
      <c r="G29" s="14">
        <f>SUMIF(Fluxo_Diário!$I:$I,Fluxo_Realizado!$B29,Fluxo_Diário!S:S)</f>
        <v>-1911</v>
      </c>
      <c r="H29" s="14">
        <f>SUMIF(Fluxo_Diário!$I:$I,Fluxo_Realizado!$B29,Fluxo_Diário!T:T)</f>
        <v>-4074</v>
      </c>
      <c r="I29" s="14">
        <f>SUMIF(Fluxo_Diário!$I:$I,Fluxo_Realizado!$B29,Fluxo_Diário!U:U)</f>
        <v>-257</v>
      </c>
      <c r="J29" s="14">
        <f>SUMIF(Fluxo_Diário!$I:$I,Fluxo_Realizado!$B29,Fluxo_Diário!V:V)</f>
        <v>0</v>
      </c>
      <c r="K29" s="14">
        <f>SUMIF(Fluxo_Diário!$I:$I,Fluxo_Realizado!$B29,Fluxo_Diário!W:W)</f>
        <v>0</v>
      </c>
      <c r="L29" s="14">
        <f>SUMIF(Fluxo_Diário!$I:$I,Fluxo_Realizado!$B29,Fluxo_Diário!X:X)</f>
        <v>0</v>
      </c>
      <c r="M29" s="14">
        <f>SUMIF(Fluxo_Diário!$I:$I,Fluxo_Realizado!$B29,Fluxo_Diário!Y:Y)</f>
        <v>0</v>
      </c>
      <c r="N29" s="14">
        <f>SUMIF(Fluxo_Diário!$I:$I,Fluxo_Realizado!$B29,Fluxo_Diário!Z:Z)</f>
        <v>0</v>
      </c>
      <c r="O29" s="14">
        <f>SUMIF(Fluxo_Diário!$I:$I,Fluxo_Realizado!$B29,Fluxo_Diário!AA:AA)</f>
        <v>0</v>
      </c>
      <c r="P29" s="14">
        <f t="shared" si="1"/>
        <v>-18836</v>
      </c>
      <c r="Q29" s="14">
        <f t="shared" si="2"/>
        <v>-1448.9230769230769</v>
      </c>
    </row>
    <row r="30" spans="2:17" outlineLevel="1" x14ac:dyDescent="0.25">
      <c r="B30" s="8" t="str">
        <f>'Plano de Contas'!B30</f>
        <v>Seguros</v>
      </c>
      <c r="C30" s="14">
        <f>SUMIF(Fluxo_Diário!$I:$I,Fluxo_Realizado!$B30,Fluxo_Diário!O:O)</f>
        <v>0</v>
      </c>
      <c r="D30" s="14">
        <f>SUMIF(Fluxo_Diário!$I:$I,Fluxo_Realizado!$B30,Fluxo_Diário!P:P)</f>
        <v>0</v>
      </c>
      <c r="E30" s="14">
        <f>SUMIF(Fluxo_Diário!$I:$I,Fluxo_Realizado!$B30,Fluxo_Diário!Q:Q)</f>
        <v>0</v>
      </c>
      <c r="F30" s="14">
        <f>SUMIF(Fluxo_Diário!$I:$I,Fluxo_Realizado!$B30,Fluxo_Diário!R:R)</f>
        <v>0</v>
      </c>
      <c r="G30" s="14">
        <f>SUMIF(Fluxo_Diário!$I:$I,Fluxo_Realizado!$B30,Fluxo_Diário!S:S)</f>
        <v>-1358</v>
      </c>
      <c r="H30" s="14">
        <f>SUMIF(Fluxo_Diário!$I:$I,Fluxo_Realizado!$B30,Fluxo_Diário!T:T)</f>
        <v>0</v>
      </c>
      <c r="I30" s="14">
        <f>SUMIF(Fluxo_Diário!$I:$I,Fluxo_Realizado!$B30,Fluxo_Diário!U:U)</f>
        <v>0</v>
      </c>
      <c r="J30" s="14">
        <f>SUMIF(Fluxo_Diário!$I:$I,Fluxo_Realizado!$B30,Fluxo_Diário!V:V)</f>
        <v>0</v>
      </c>
      <c r="K30" s="14">
        <f>SUMIF(Fluxo_Diário!$I:$I,Fluxo_Realizado!$B30,Fluxo_Diário!W:W)</f>
        <v>0</v>
      </c>
      <c r="L30" s="14">
        <f>SUMIF(Fluxo_Diário!$I:$I,Fluxo_Realizado!$B30,Fluxo_Diário!X:X)</f>
        <v>0</v>
      </c>
      <c r="M30" s="14">
        <f>SUMIF(Fluxo_Diário!$I:$I,Fluxo_Realizado!$B30,Fluxo_Diário!Y:Y)</f>
        <v>0</v>
      </c>
      <c r="N30" s="14">
        <f>SUMIF(Fluxo_Diário!$I:$I,Fluxo_Realizado!$B30,Fluxo_Diário!Z:Z)</f>
        <v>0</v>
      </c>
      <c r="O30" s="14">
        <f>SUMIF(Fluxo_Diário!$I:$I,Fluxo_Realizado!$B30,Fluxo_Diário!AA:AA)</f>
        <v>0</v>
      </c>
      <c r="P30" s="14">
        <f t="shared" si="1"/>
        <v>-1358</v>
      </c>
      <c r="Q30" s="14">
        <f t="shared" si="2"/>
        <v>-104.46153846153847</v>
      </c>
    </row>
    <row r="31" spans="2:17" outlineLevel="1" x14ac:dyDescent="0.25">
      <c r="B31" s="8" t="str">
        <f>'Plano de Contas'!B31</f>
        <v>Terceirizados</v>
      </c>
      <c r="C31" s="14">
        <f>SUMIF(Fluxo_Diário!$I:$I,Fluxo_Realizado!$B31,Fluxo_Diário!O:O)</f>
        <v>-800</v>
      </c>
      <c r="D31" s="14">
        <f>SUMIF(Fluxo_Diário!$I:$I,Fluxo_Realizado!$B31,Fluxo_Diário!P:P)</f>
        <v>-1619</v>
      </c>
      <c r="E31" s="14">
        <f>SUMIF(Fluxo_Diário!$I:$I,Fluxo_Realizado!$B31,Fluxo_Diário!Q:Q)</f>
        <v>0</v>
      </c>
      <c r="F31" s="14">
        <f>SUMIF(Fluxo_Diário!$I:$I,Fluxo_Realizado!$B31,Fluxo_Diário!R:R)</f>
        <v>0</v>
      </c>
      <c r="G31" s="14">
        <f>SUMIF(Fluxo_Diário!$I:$I,Fluxo_Realizado!$B31,Fluxo_Diário!S:S)</f>
        <v>-1525</v>
      </c>
      <c r="H31" s="14">
        <f>SUMIF(Fluxo_Diário!$I:$I,Fluxo_Realizado!$B31,Fluxo_Diário!T:T)</f>
        <v>0</v>
      </c>
      <c r="I31" s="14">
        <f>SUMIF(Fluxo_Diário!$I:$I,Fluxo_Realizado!$B31,Fluxo_Diário!U:U)</f>
        <v>0</v>
      </c>
      <c r="J31" s="14">
        <f>SUMIF(Fluxo_Diário!$I:$I,Fluxo_Realizado!$B31,Fluxo_Diário!V:V)</f>
        <v>0</v>
      </c>
      <c r="K31" s="14">
        <f>SUMIF(Fluxo_Diário!$I:$I,Fluxo_Realizado!$B31,Fluxo_Diário!W:W)</f>
        <v>0</v>
      </c>
      <c r="L31" s="14">
        <f>SUMIF(Fluxo_Diário!$I:$I,Fluxo_Realizado!$B31,Fluxo_Diário!X:X)</f>
        <v>0</v>
      </c>
      <c r="M31" s="14">
        <f>SUMIF(Fluxo_Diário!$I:$I,Fluxo_Realizado!$B31,Fluxo_Diário!Y:Y)</f>
        <v>0</v>
      </c>
      <c r="N31" s="14">
        <f>SUMIF(Fluxo_Diário!$I:$I,Fluxo_Realizado!$B31,Fluxo_Diário!Z:Z)</f>
        <v>0</v>
      </c>
      <c r="O31" s="14">
        <f>SUMIF(Fluxo_Diário!$I:$I,Fluxo_Realizado!$B31,Fluxo_Diário!AA:AA)</f>
        <v>0</v>
      </c>
      <c r="P31" s="14">
        <f t="shared" si="1"/>
        <v>-3944</v>
      </c>
      <c r="Q31" s="14">
        <f t="shared" si="2"/>
        <v>-303.38461538461536</v>
      </c>
    </row>
    <row r="32" spans="2:17" outlineLevel="1" x14ac:dyDescent="0.25">
      <c r="B32" s="8" t="str">
        <f>'Plano de Contas'!B32</f>
        <v>Viagens</v>
      </c>
      <c r="C32" s="14">
        <f>SUMIF(Fluxo_Diário!$I:$I,Fluxo_Realizado!$B32,Fluxo_Diário!O:O)</f>
        <v>0</v>
      </c>
      <c r="D32" s="14">
        <f>SUMIF(Fluxo_Diário!$I:$I,Fluxo_Realizado!$B32,Fluxo_Diário!P:P)</f>
        <v>0</v>
      </c>
      <c r="E32" s="14">
        <f>SUMIF(Fluxo_Diário!$I:$I,Fluxo_Realizado!$B32,Fluxo_Diário!Q:Q)</f>
        <v>0</v>
      </c>
      <c r="F32" s="14">
        <f>SUMIF(Fluxo_Diário!$I:$I,Fluxo_Realizado!$B32,Fluxo_Diário!R:R)</f>
        <v>0</v>
      </c>
      <c r="G32" s="14">
        <f>SUMIF(Fluxo_Diário!$I:$I,Fluxo_Realizado!$B32,Fluxo_Diário!S:S)</f>
        <v>-1047</v>
      </c>
      <c r="H32" s="14">
        <f>SUMIF(Fluxo_Diário!$I:$I,Fluxo_Realizado!$B32,Fluxo_Diário!T:T)</f>
        <v>0</v>
      </c>
      <c r="I32" s="14">
        <f>SUMIF(Fluxo_Diário!$I:$I,Fluxo_Realizado!$B32,Fluxo_Diário!U:U)</f>
        <v>0</v>
      </c>
      <c r="J32" s="14">
        <f>SUMIF(Fluxo_Diário!$I:$I,Fluxo_Realizado!$B32,Fluxo_Diário!V:V)</f>
        <v>0</v>
      </c>
      <c r="K32" s="14">
        <f>SUMIF(Fluxo_Diário!$I:$I,Fluxo_Realizado!$B32,Fluxo_Diário!W:W)</f>
        <v>0</v>
      </c>
      <c r="L32" s="14">
        <f>SUMIF(Fluxo_Diário!$I:$I,Fluxo_Realizado!$B32,Fluxo_Diário!X:X)</f>
        <v>0</v>
      </c>
      <c r="M32" s="14">
        <f>SUMIF(Fluxo_Diário!$I:$I,Fluxo_Realizado!$B32,Fluxo_Diário!Y:Y)</f>
        <v>0</v>
      </c>
      <c r="N32" s="14">
        <f>SUMIF(Fluxo_Diário!$I:$I,Fluxo_Realizado!$B32,Fluxo_Diário!Z:Z)</f>
        <v>0</v>
      </c>
      <c r="O32" s="14">
        <f>SUMIF(Fluxo_Diário!$I:$I,Fluxo_Realizado!$B32,Fluxo_Diário!AA:AA)</f>
        <v>0</v>
      </c>
      <c r="P32" s="14">
        <f t="shared" si="1"/>
        <v>-1047</v>
      </c>
      <c r="Q32" s="14">
        <f t="shared" si="2"/>
        <v>-80.538461538461533</v>
      </c>
    </row>
    <row r="33" spans="2:17" x14ac:dyDescent="0.25">
      <c r="B33" s="24" t="str">
        <f>'Plano de Contas'!B33</f>
        <v>DESPESAS VARIÁVEIS</v>
      </c>
      <c r="C33" s="25">
        <f t="shared" ref="C33:O33" si="4">SUM(C34:C38)</f>
        <v>-2713</v>
      </c>
      <c r="D33" s="25">
        <f t="shared" si="4"/>
        <v>-7731</v>
      </c>
      <c r="E33" s="25">
        <f t="shared" si="4"/>
        <v>-2302</v>
      </c>
      <c r="F33" s="25">
        <f t="shared" si="4"/>
        <v>-5563</v>
      </c>
      <c r="G33" s="25">
        <f t="shared" si="4"/>
        <v>-2853</v>
      </c>
      <c r="H33" s="25">
        <f t="shared" si="4"/>
        <v>-2396</v>
      </c>
      <c r="I33" s="25">
        <f t="shared" si="4"/>
        <v>0</v>
      </c>
      <c r="J33" s="25">
        <f t="shared" si="4"/>
        <v>0</v>
      </c>
      <c r="K33" s="25">
        <f t="shared" si="4"/>
        <v>0</v>
      </c>
      <c r="L33" s="25">
        <f t="shared" si="4"/>
        <v>0</v>
      </c>
      <c r="M33" s="25">
        <f t="shared" si="4"/>
        <v>0</v>
      </c>
      <c r="N33" s="25">
        <f t="shared" si="4"/>
        <v>0</v>
      </c>
      <c r="O33" s="25">
        <f t="shared" si="4"/>
        <v>0</v>
      </c>
      <c r="P33" s="25">
        <f t="shared" si="1"/>
        <v>-23558</v>
      </c>
      <c r="Q33" s="25">
        <f t="shared" si="2"/>
        <v>-1812.1538461538462</v>
      </c>
    </row>
    <row r="34" spans="2:17" outlineLevel="1" x14ac:dyDescent="0.25">
      <c r="B34" s="8" t="str">
        <f>'Plano de Contas'!B34</f>
        <v>Comissões</v>
      </c>
      <c r="C34" s="14">
        <f>SUMIF(Fluxo_Diário!$I:$I,Fluxo_Realizado!$B34,Fluxo_Diário!O:O)</f>
        <v>0</v>
      </c>
      <c r="D34" s="14">
        <f>SUMIF(Fluxo_Diário!$I:$I,Fluxo_Realizado!$B34,Fluxo_Diário!P:P)</f>
        <v>-2306</v>
      </c>
      <c r="E34" s="14">
        <f>SUMIF(Fluxo_Diário!$I:$I,Fluxo_Realizado!$B34,Fluxo_Diário!Q:Q)</f>
        <v>0</v>
      </c>
      <c r="F34" s="14">
        <f>SUMIF(Fluxo_Diário!$I:$I,Fluxo_Realizado!$B34,Fluxo_Diário!R:R)</f>
        <v>-3135</v>
      </c>
      <c r="G34" s="14">
        <f>SUMIF(Fluxo_Diário!$I:$I,Fluxo_Realizado!$B34,Fluxo_Diário!S:S)</f>
        <v>0</v>
      </c>
      <c r="H34" s="14">
        <f>SUMIF(Fluxo_Diário!$I:$I,Fluxo_Realizado!$B34,Fluxo_Diário!T:T)</f>
        <v>0</v>
      </c>
      <c r="I34" s="14">
        <f>SUMIF(Fluxo_Diário!$I:$I,Fluxo_Realizado!$B34,Fluxo_Diário!U:U)</f>
        <v>0</v>
      </c>
      <c r="J34" s="14">
        <f>SUMIF(Fluxo_Diário!$I:$I,Fluxo_Realizado!$B34,Fluxo_Diário!V:V)</f>
        <v>0</v>
      </c>
      <c r="K34" s="14">
        <f>SUMIF(Fluxo_Diário!$I:$I,Fluxo_Realizado!$B34,Fluxo_Diário!W:W)</f>
        <v>0</v>
      </c>
      <c r="L34" s="14">
        <f>SUMIF(Fluxo_Diário!$I:$I,Fluxo_Realizado!$B34,Fluxo_Diário!X:X)</f>
        <v>0</v>
      </c>
      <c r="M34" s="14">
        <f>SUMIF(Fluxo_Diário!$I:$I,Fluxo_Realizado!$B34,Fluxo_Diário!Y:Y)</f>
        <v>0</v>
      </c>
      <c r="N34" s="14">
        <f>SUMIF(Fluxo_Diário!$I:$I,Fluxo_Realizado!$B34,Fluxo_Diário!Z:Z)</f>
        <v>0</v>
      </c>
      <c r="O34" s="14">
        <f>SUMIF(Fluxo_Diário!$I:$I,Fluxo_Realizado!$B34,Fluxo_Diário!AA:AA)</f>
        <v>0</v>
      </c>
      <c r="P34" s="14">
        <f t="shared" si="1"/>
        <v>-5441</v>
      </c>
      <c r="Q34" s="14">
        <f t="shared" si="2"/>
        <v>-418.53846153846155</v>
      </c>
    </row>
    <row r="35" spans="2:17" outlineLevel="1" x14ac:dyDescent="0.25">
      <c r="B35" s="8" t="str">
        <f>'Plano de Contas'!B35</f>
        <v>Impostos estaduais</v>
      </c>
      <c r="C35" s="14">
        <f>SUMIF(Fluxo_Diário!$I:$I,Fluxo_Realizado!$B35,Fluxo_Diário!O:O)</f>
        <v>0</v>
      </c>
      <c r="D35" s="14">
        <f>SUMIF(Fluxo_Diário!$I:$I,Fluxo_Realizado!$B35,Fluxo_Diário!P:P)</f>
        <v>0</v>
      </c>
      <c r="E35" s="14">
        <f>SUMIF(Fluxo_Diário!$I:$I,Fluxo_Realizado!$B35,Fluxo_Diário!Q:Q)</f>
        <v>0</v>
      </c>
      <c r="F35" s="14">
        <f>SUMIF(Fluxo_Diário!$I:$I,Fluxo_Realizado!$B35,Fluxo_Diário!R:R)</f>
        <v>0</v>
      </c>
      <c r="G35" s="14">
        <f>SUMIF(Fluxo_Diário!$I:$I,Fluxo_Realizado!$B35,Fluxo_Diário!S:S)</f>
        <v>0</v>
      </c>
      <c r="H35" s="14">
        <f>SUMIF(Fluxo_Diário!$I:$I,Fluxo_Realizado!$B35,Fluxo_Diário!T:T)</f>
        <v>0</v>
      </c>
      <c r="I35" s="14">
        <f>SUMIF(Fluxo_Diário!$I:$I,Fluxo_Realizado!$B35,Fluxo_Diário!U:U)</f>
        <v>0</v>
      </c>
      <c r="J35" s="14">
        <f>SUMIF(Fluxo_Diário!$I:$I,Fluxo_Realizado!$B35,Fluxo_Diário!V:V)</f>
        <v>0</v>
      </c>
      <c r="K35" s="14">
        <f>SUMIF(Fluxo_Diário!$I:$I,Fluxo_Realizado!$B35,Fluxo_Diário!W:W)</f>
        <v>0</v>
      </c>
      <c r="L35" s="14">
        <f>SUMIF(Fluxo_Diário!$I:$I,Fluxo_Realizado!$B35,Fluxo_Diário!X:X)</f>
        <v>0</v>
      </c>
      <c r="M35" s="14">
        <f>SUMIF(Fluxo_Diário!$I:$I,Fluxo_Realizado!$B35,Fluxo_Diário!Y:Y)</f>
        <v>0</v>
      </c>
      <c r="N35" s="14">
        <f>SUMIF(Fluxo_Diário!$I:$I,Fluxo_Realizado!$B35,Fluxo_Diário!Z:Z)</f>
        <v>0</v>
      </c>
      <c r="O35" s="14">
        <f>SUMIF(Fluxo_Diário!$I:$I,Fluxo_Realizado!$B35,Fluxo_Diário!AA:AA)</f>
        <v>0</v>
      </c>
      <c r="P35" s="11">
        <f t="shared" si="1"/>
        <v>0</v>
      </c>
      <c r="Q35" s="11">
        <f t="shared" si="2"/>
        <v>0</v>
      </c>
    </row>
    <row r="36" spans="2:17" outlineLevel="1" x14ac:dyDescent="0.25">
      <c r="B36" s="8" t="str">
        <f>'Plano de Contas'!B36</f>
        <v>Impostos federais</v>
      </c>
      <c r="C36" s="14">
        <f>SUMIF(Fluxo_Diário!$I:$I,Fluxo_Realizado!$B36,Fluxo_Diário!O:O)</f>
        <v>0</v>
      </c>
      <c r="D36" s="14">
        <f>SUMIF(Fluxo_Diário!$I:$I,Fluxo_Realizado!$B36,Fluxo_Diário!P:P)</f>
        <v>-5425</v>
      </c>
      <c r="E36" s="14">
        <f>SUMIF(Fluxo_Diário!$I:$I,Fluxo_Realizado!$B36,Fluxo_Diário!Q:Q)</f>
        <v>0</v>
      </c>
      <c r="F36" s="14">
        <f>SUMIF(Fluxo_Diário!$I:$I,Fluxo_Realizado!$B36,Fluxo_Diário!R:R)</f>
        <v>0</v>
      </c>
      <c r="G36" s="14">
        <f>SUMIF(Fluxo_Diário!$I:$I,Fluxo_Realizado!$B36,Fluxo_Diário!S:S)</f>
        <v>0</v>
      </c>
      <c r="H36" s="14">
        <f>SUMIF(Fluxo_Diário!$I:$I,Fluxo_Realizado!$B36,Fluxo_Diário!T:T)</f>
        <v>0</v>
      </c>
      <c r="I36" s="14">
        <f>SUMIF(Fluxo_Diário!$I:$I,Fluxo_Realizado!$B36,Fluxo_Diário!U:U)</f>
        <v>0</v>
      </c>
      <c r="J36" s="14">
        <f>SUMIF(Fluxo_Diário!$I:$I,Fluxo_Realizado!$B36,Fluxo_Diário!V:V)</f>
        <v>0</v>
      </c>
      <c r="K36" s="14">
        <f>SUMIF(Fluxo_Diário!$I:$I,Fluxo_Realizado!$B36,Fluxo_Diário!W:W)</f>
        <v>0</v>
      </c>
      <c r="L36" s="14">
        <f>SUMIF(Fluxo_Diário!$I:$I,Fluxo_Realizado!$B36,Fluxo_Diário!X:X)</f>
        <v>0</v>
      </c>
      <c r="M36" s="14">
        <f>SUMIF(Fluxo_Diário!$I:$I,Fluxo_Realizado!$B36,Fluxo_Diário!Y:Y)</f>
        <v>0</v>
      </c>
      <c r="N36" s="14">
        <f>SUMIF(Fluxo_Diário!$I:$I,Fluxo_Realizado!$B36,Fluxo_Diário!Z:Z)</f>
        <v>0</v>
      </c>
      <c r="O36" s="14">
        <f>SUMIF(Fluxo_Diário!$I:$I,Fluxo_Realizado!$B36,Fluxo_Diário!AA:AA)</f>
        <v>0</v>
      </c>
      <c r="P36" s="14">
        <f t="shared" si="1"/>
        <v>-5425</v>
      </c>
      <c r="Q36" s="14">
        <f t="shared" si="2"/>
        <v>-417.30769230769232</v>
      </c>
    </row>
    <row r="37" spans="2:17" outlineLevel="1" x14ac:dyDescent="0.25">
      <c r="B37" s="8" t="str">
        <f>'Plano de Contas'!B37</f>
        <v>Impostos municipais</v>
      </c>
      <c r="C37" s="14">
        <f>SUMIF(Fluxo_Diário!$I:$I,Fluxo_Realizado!$B37,Fluxo_Diário!O:O)</f>
        <v>-2713</v>
      </c>
      <c r="D37" s="14">
        <f>SUMIF(Fluxo_Diário!$I:$I,Fluxo_Realizado!$B37,Fluxo_Diário!P:P)</f>
        <v>0</v>
      </c>
      <c r="E37" s="14">
        <f>SUMIF(Fluxo_Diário!$I:$I,Fluxo_Realizado!$B37,Fluxo_Diário!Q:Q)</f>
        <v>-2302</v>
      </c>
      <c r="F37" s="14">
        <f>SUMIF(Fluxo_Diário!$I:$I,Fluxo_Realizado!$B37,Fluxo_Diário!R:R)</f>
        <v>-2428</v>
      </c>
      <c r="G37" s="14">
        <f>SUMIF(Fluxo_Diário!$I:$I,Fluxo_Realizado!$B37,Fluxo_Diário!S:S)</f>
        <v>0</v>
      </c>
      <c r="H37" s="14">
        <f>SUMIF(Fluxo_Diário!$I:$I,Fluxo_Realizado!$B37,Fluxo_Diário!T:T)</f>
        <v>-2396</v>
      </c>
      <c r="I37" s="14">
        <f>SUMIF(Fluxo_Diário!$I:$I,Fluxo_Realizado!$B37,Fluxo_Diário!U:U)</f>
        <v>0</v>
      </c>
      <c r="J37" s="14">
        <f>SUMIF(Fluxo_Diário!$I:$I,Fluxo_Realizado!$B37,Fluxo_Diário!V:V)</f>
        <v>0</v>
      </c>
      <c r="K37" s="14">
        <f>SUMIF(Fluxo_Diário!$I:$I,Fluxo_Realizado!$B37,Fluxo_Diário!W:W)</f>
        <v>0</v>
      </c>
      <c r="L37" s="14">
        <f>SUMIF(Fluxo_Diário!$I:$I,Fluxo_Realizado!$B37,Fluxo_Diário!X:X)</f>
        <v>0</v>
      </c>
      <c r="M37" s="14">
        <f>SUMIF(Fluxo_Diário!$I:$I,Fluxo_Realizado!$B37,Fluxo_Diário!Y:Y)</f>
        <v>0</v>
      </c>
      <c r="N37" s="14">
        <f>SUMIF(Fluxo_Diário!$I:$I,Fluxo_Realizado!$B37,Fluxo_Diário!Z:Z)</f>
        <v>0</v>
      </c>
      <c r="O37" s="14">
        <f>SUMIF(Fluxo_Diário!$I:$I,Fluxo_Realizado!$B37,Fluxo_Diário!AA:AA)</f>
        <v>0</v>
      </c>
      <c r="P37" s="14">
        <f t="shared" si="1"/>
        <v>-9839</v>
      </c>
      <c r="Q37" s="14">
        <f t="shared" si="2"/>
        <v>-756.84615384615381</v>
      </c>
    </row>
    <row r="38" spans="2:17" outlineLevel="1" x14ac:dyDescent="0.25">
      <c r="B38" s="8" t="str">
        <f>'Plano de Contas'!B38</f>
        <v>Outras despesas variáveis</v>
      </c>
      <c r="C38" s="14">
        <f>SUMIF(Fluxo_Diário!$I:$I,Fluxo_Realizado!$B38,Fluxo_Diário!O:O)</f>
        <v>0</v>
      </c>
      <c r="D38" s="14">
        <f>SUMIF(Fluxo_Diário!$I:$I,Fluxo_Realizado!$B38,Fluxo_Diário!P:P)</f>
        <v>0</v>
      </c>
      <c r="E38" s="14">
        <f>SUMIF(Fluxo_Diário!$I:$I,Fluxo_Realizado!$B38,Fluxo_Diário!Q:Q)</f>
        <v>0</v>
      </c>
      <c r="F38" s="14">
        <f>SUMIF(Fluxo_Diário!$I:$I,Fluxo_Realizado!$B38,Fluxo_Diário!R:R)</f>
        <v>0</v>
      </c>
      <c r="G38" s="14">
        <f>SUMIF(Fluxo_Diário!$I:$I,Fluxo_Realizado!$B38,Fluxo_Diário!S:S)</f>
        <v>-2853</v>
      </c>
      <c r="H38" s="14">
        <f>SUMIF(Fluxo_Diário!$I:$I,Fluxo_Realizado!$B38,Fluxo_Diário!T:T)</f>
        <v>0</v>
      </c>
      <c r="I38" s="14">
        <f>SUMIF(Fluxo_Diário!$I:$I,Fluxo_Realizado!$B38,Fluxo_Diário!U:U)</f>
        <v>0</v>
      </c>
      <c r="J38" s="14">
        <f>SUMIF(Fluxo_Diário!$I:$I,Fluxo_Realizado!$B38,Fluxo_Diário!V:V)</f>
        <v>0</v>
      </c>
      <c r="K38" s="14">
        <f>SUMIF(Fluxo_Diário!$I:$I,Fluxo_Realizado!$B38,Fluxo_Diário!W:W)</f>
        <v>0</v>
      </c>
      <c r="L38" s="14">
        <f>SUMIF(Fluxo_Diário!$I:$I,Fluxo_Realizado!$B38,Fluxo_Diário!X:X)</f>
        <v>0</v>
      </c>
      <c r="M38" s="14">
        <f>SUMIF(Fluxo_Diário!$I:$I,Fluxo_Realizado!$B38,Fluxo_Diário!Y:Y)</f>
        <v>0</v>
      </c>
      <c r="N38" s="14">
        <f>SUMIF(Fluxo_Diário!$I:$I,Fluxo_Realizado!$B38,Fluxo_Diário!Z:Z)</f>
        <v>0</v>
      </c>
      <c r="O38" s="14">
        <f>SUMIF(Fluxo_Diário!$I:$I,Fluxo_Realizado!$B38,Fluxo_Diário!AA:AA)</f>
        <v>0</v>
      </c>
      <c r="P38" s="14">
        <f t="shared" si="1"/>
        <v>-2853</v>
      </c>
      <c r="Q38" s="14">
        <f t="shared" si="2"/>
        <v>-219.46153846153845</v>
      </c>
    </row>
    <row r="39" spans="2:17" x14ac:dyDescent="0.25">
      <c r="B39" s="22" t="str">
        <f>'Plano de Contas'!B39</f>
        <v>ENTRADA FL. INVESTIMENTO</v>
      </c>
      <c r="C39" s="23">
        <f>SUM(C40:C41)</f>
        <v>0</v>
      </c>
      <c r="D39" s="23">
        <f t="shared" ref="D39:O39" si="5">SUM(D40:D41)</f>
        <v>0</v>
      </c>
      <c r="E39" s="23">
        <f t="shared" si="5"/>
        <v>0</v>
      </c>
      <c r="F39" s="23">
        <f t="shared" si="5"/>
        <v>0</v>
      </c>
      <c r="G39" s="23">
        <f t="shared" si="5"/>
        <v>0</v>
      </c>
      <c r="H39" s="23">
        <f t="shared" si="5"/>
        <v>0</v>
      </c>
      <c r="I39" s="23">
        <f t="shared" si="5"/>
        <v>0</v>
      </c>
      <c r="J39" s="23">
        <f t="shared" si="5"/>
        <v>0</v>
      </c>
      <c r="K39" s="23">
        <f t="shared" si="5"/>
        <v>0</v>
      </c>
      <c r="L39" s="23">
        <f t="shared" si="5"/>
        <v>0</v>
      </c>
      <c r="M39" s="23">
        <f t="shared" si="5"/>
        <v>0</v>
      </c>
      <c r="N39" s="23">
        <f t="shared" si="5"/>
        <v>0</v>
      </c>
      <c r="O39" s="23">
        <f t="shared" si="5"/>
        <v>0</v>
      </c>
      <c r="P39" s="23">
        <f t="shared" si="1"/>
        <v>0</v>
      </c>
      <c r="Q39" s="23">
        <f t="shared" si="2"/>
        <v>0</v>
      </c>
    </row>
    <row r="40" spans="2:17" outlineLevel="1" x14ac:dyDescent="0.25">
      <c r="B40" s="8" t="str">
        <f>'Plano de Contas'!B40</f>
        <v>Resgate Aplicações Financeiras</v>
      </c>
      <c r="C40" s="14">
        <f>SUMIF(Fluxo_Diário!$I:$I,Fluxo_Realizado!$B40,Fluxo_Diário!O:O)</f>
        <v>0</v>
      </c>
      <c r="D40" s="14">
        <f>SUMIF(Fluxo_Diário!$I:$I,Fluxo_Realizado!$B40,Fluxo_Diário!P:P)</f>
        <v>0</v>
      </c>
      <c r="E40" s="14">
        <f>SUMIF(Fluxo_Diário!$I:$I,Fluxo_Realizado!$B40,Fluxo_Diário!Q:Q)</f>
        <v>0</v>
      </c>
      <c r="F40" s="14">
        <f>SUMIF(Fluxo_Diário!$I:$I,Fluxo_Realizado!$B40,Fluxo_Diário!R:R)</f>
        <v>0</v>
      </c>
      <c r="G40" s="14">
        <f>SUMIF(Fluxo_Diário!$I:$I,Fluxo_Realizado!$B40,Fluxo_Diário!S:S)</f>
        <v>0</v>
      </c>
      <c r="H40" s="14">
        <f>SUMIF(Fluxo_Diário!$I:$I,Fluxo_Realizado!$B40,Fluxo_Diário!T:T)</f>
        <v>0</v>
      </c>
      <c r="I40" s="14">
        <f>SUMIF(Fluxo_Diário!$I:$I,Fluxo_Realizado!$B40,Fluxo_Diário!U:U)</f>
        <v>0</v>
      </c>
      <c r="J40" s="14">
        <f>SUMIF(Fluxo_Diário!$I:$I,Fluxo_Realizado!$B40,Fluxo_Diário!V:V)</f>
        <v>0</v>
      </c>
      <c r="K40" s="14">
        <f>SUMIF(Fluxo_Diário!$I:$I,Fluxo_Realizado!$B40,Fluxo_Diário!W:W)</f>
        <v>0</v>
      </c>
      <c r="L40" s="14">
        <f>SUMIF(Fluxo_Diário!$I:$I,Fluxo_Realizado!$B40,Fluxo_Diário!X:X)</f>
        <v>0</v>
      </c>
      <c r="M40" s="14">
        <f>SUMIF(Fluxo_Diário!$I:$I,Fluxo_Realizado!$B40,Fluxo_Diário!Y:Y)</f>
        <v>0</v>
      </c>
      <c r="N40" s="14">
        <f>SUMIF(Fluxo_Diário!$I:$I,Fluxo_Realizado!$B40,Fluxo_Diário!Z:Z)</f>
        <v>0</v>
      </c>
      <c r="O40" s="14">
        <f>SUMIF(Fluxo_Diário!$I:$I,Fluxo_Realizado!$B40,Fluxo_Diário!AA:AA)</f>
        <v>0</v>
      </c>
      <c r="P40" s="11">
        <f t="shared" si="1"/>
        <v>0</v>
      </c>
      <c r="Q40" s="11">
        <f t="shared" si="2"/>
        <v>0</v>
      </c>
    </row>
    <row r="41" spans="2:17" outlineLevel="1" x14ac:dyDescent="0.25">
      <c r="B41" s="8" t="str">
        <f>'Plano de Contas'!B41</f>
        <v>Venda Ativo</v>
      </c>
      <c r="C41" s="14">
        <f>SUMIF(Fluxo_Diário!$I:$I,Fluxo_Realizado!$B41,Fluxo_Diário!O:O)</f>
        <v>0</v>
      </c>
      <c r="D41" s="14">
        <f>SUMIF(Fluxo_Diário!$I:$I,Fluxo_Realizado!$B41,Fluxo_Diário!P:P)</f>
        <v>0</v>
      </c>
      <c r="E41" s="14">
        <f>SUMIF(Fluxo_Diário!$I:$I,Fluxo_Realizado!$B41,Fluxo_Diário!Q:Q)</f>
        <v>0</v>
      </c>
      <c r="F41" s="14">
        <f>SUMIF(Fluxo_Diário!$I:$I,Fluxo_Realizado!$B41,Fluxo_Diário!R:R)</f>
        <v>0</v>
      </c>
      <c r="G41" s="14">
        <f>SUMIF(Fluxo_Diário!$I:$I,Fluxo_Realizado!$B41,Fluxo_Diário!S:S)</f>
        <v>0</v>
      </c>
      <c r="H41" s="14">
        <f>SUMIF(Fluxo_Diário!$I:$I,Fluxo_Realizado!$B41,Fluxo_Diário!T:T)</f>
        <v>0</v>
      </c>
      <c r="I41" s="14">
        <f>SUMIF(Fluxo_Diário!$I:$I,Fluxo_Realizado!$B41,Fluxo_Diário!U:U)</f>
        <v>0</v>
      </c>
      <c r="J41" s="14">
        <f>SUMIF(Fluxo_Diário!$I:$I,Fluxo_Realizado!$B41,Fluxo_Diário!V:V)</f>
        <v>0</v>
      </c>
      <c r="K41" s="14">
        <f>SUMIF(Fluxo_Diário!$I:$I,Fluxo_Realizado!$B41,Fluxo_Diário!W:W)</f>
        <v>0</v>
      </c>
      <c r="L41" s="14">
        <f>SUMIF(Fluxo_Diário!$I:$I,Fluxo_Realizado!$B41,Fluxo_Diário!X:X)</f>
        <v>0</v>
      </c>
      <c r="M41" s="14">
        <f>SUMIF(Fluxo_Diário!$I:$I,Fluxo_Realizado!$B41,Fluxo_Diário!Y:Y)</f>
        <v>0</v>
      </c>
      <c r="N41" s="14">
        <f>SUMIF(Fluxo_Diário!$I:$I,Fluxo_Realizado!$B41,Fluxo_Diário!Z:Z)</f>
        <v>0</v>
      </c>
      <c r="O41" s="14">
        <f>SUMIF(Fluxo_Diário!$I:$I,Fluxo_Realizado!$B41,Fluxo_Diário!AA:AA)</f>
        <v>0</v>
      </c>
      <c r="P41" s="11">
        <f t="shared" si="1"/>
        <v>0</v>
      </c>
      <c r="Q41" s="11">
        <f t="shared" si="2"/>
        <v>0</v>
      </c>
    </row>
    <row r="42" spans="2:17" x14ac:dyDescent="0.25">
      <c r="B42" s="24" t="str">
        <f>'Plano de Contas'!B42</f>
        <v>SAÍDA FL. INVESTIMENTO</v>
      </c>
      <c r="C42" s="25">
        <f>SUM(C43:C45)</f>
        <v>0</v>
      </c>
      <c r="D42" s="25">
        <f t="shared" ref="D42:O42" si="6">SUM(D43:D45)</f>
        <v>0</v>
      </c>
      <c r="E42" s="25">
        <f t="shared" si="6"/>
        <v>0</v>
      </c>
      <c r="F42" s="25">
        <f t="shared" si="6"/>
        <v>0</v>
      </c>
      <c r="G42" s="25">
        <f t="shared" si="6"/>
        <v>0</v>
      </c>
      <c r="H42" s="25">
        <f t="shared" si="6"/>
        <v>0</v>
      </c>
      <c r="I42" s="25">
        <f t="shared" si="6"/>
        <v>0</v>
      </c>
      <c r="J42" s="25">
        <f t="shared" si="6"/>
        <v>0</v>
      </c>
      <c r="K42" s="25">
        <f t="shared" si="6"/>
        <v>0</v>
      </c>
      <c r="L42" s="25">
        <f t="shared" si="6"/>
        <v>0</v>
      </c>
      <c r="M42" s="25">
        <f t="shared" si="6"/>
        <v>0</v>
      </c>
      <c r="N42" s="25">
        <f t="shared" si="6"/>
        <v>0</v>
      </c>
      <c r="O42" s="25">
        <f t="shared" si="6"/>
        <v>0</v>
      </c>
      <c r="P42" s="25">
        <f t="shared" si="1"/>
        <v>0</v>
      </c>
      <c r="Q42" s="25">
        <f t="shared" si="2"/>
        <v>0</v>
      </c>
    </row>
    <row r="43" spans="2:17" outlineLevel="1" x14ac:dyDescent="0.25">
      <c r="B43" s="8" t="str">
        <f>'Plano de Contas'!B43</f>
        <v>Aplicação financeira</v>
      </c>
      <c r="C43" s="14">
        <f>SUMIF(Fluxo_Diário!$I:$I,Fluxo_Realizado!$B43,Fluxo_Diário!O:O)</f>
        <v>0</v>
      </c>
      <c r="D43" s="14">
        <f>SUMIF(Fluxo_Diário!$I:$I,Fluxo_Realizado!$B43,Fluxo_Diário!P:P)</f>
        <v>0</v>
      </c>
      <c r="E43" s="14">
        <f>SUMIF(Fluxo_Diário!$I:$I,Fluxo_Realizado!$B43,Fluxo_Diário!Q:Q)</f>
        <v>0</v>
      </c>
      <c r="F43" s="14">
        <f>SUMIF(Fluxo_Diário!$I:$I,Fluxo_Realizado!$B43,Fluxo_Diário!R:R)</f>
        <v>0</v>
      </c>
      <c r="G43" s="14">
        <f>SUMIF(Fluxo_Diário!$I:$I,Fluxo_Realizado!$B43,Fluxo_Diário!S:S)</f>
        <v>0</v>
      </c>
      <c r="H43" s="14">
        <f>SUMIF(Fluxo_Diário!$I:$I,Fluxo_Realizado!$B43,Fluxo_Diário!T:T)</f>
        <v>0</v>
      </c>
      <c r="I43" s="14">
        <f>SUMIF(Fluxo_Diário!$I:$I,Fluxo_Realizado!$B43,Fluxo_Diário!U:U)</f>
        <v>0</v>
      </c>
      <c r="J43" s="14">
        <f>SUMIF(Fluxo_Diário!$I:$I,Fluxo_Realizado!$B43,Fluxo_Diário!V:V)</f>
        <v>0</v>
      </c>
      <c r="K43" s="14">
        <f>SUMIF(Fluxo_Diário!$I:$I,Fluxo_Realizado!$B43,Fluxo_Diário!W:W)</f>
        <v>0</v>
      </c>
      <c r="L43" s="14">
        <f>SUMIF(Fluxo_Diário!$I:$I,Fluxo_Realizado!$B43,Fluxo_Diário!X:X)</f>
        <v>0</v>
      </c>
      <c r="M43" s="14">
        <f>SUMIF(Fluxo_Diário!$I:$I,Fluxo_Realizado!$B43,Fluxo_Diário!Y:Y)</f>
        <v>0</v>
      </c>
      <c r="N43" s="14">
        <f>SUMIF(Fluxo_Diário!$I:$I,Fluxo_Realizado!$B43,Fluxo_Diário!Z:Z)</f>
        <v>0</v>
      </c>
      <c r="O43" s="14">
        <f>SUMIF(Fluxo_Diário!$I:$I,Fluxo_Realizado!$B43,Fluxo_Diário!AA:AA)</f>
        <v>0</v>
      </c>
      <c r="P43" s="11">
        <f t="shared" si="1"/>
        <v>0</v>
      </c>
      <c r="Q43" s="8">
        <f t="shared" si="2"/>
        <v>0</v>
      </c>
    </row>
    <row r="44" spans="2:17" outlineLevel="1" x14ac:dyDescent="0.25">
      <c r="B44" s="8" t="str">
        <f>'Plano de Contas'!B44</f>
        <v>Ativo imobilizado</v>
      </c>
      <c r="C44" s="14">
        <f>SUMIF(Fluxo_Diário!$I:$I,Fluxo_Realizado!$B44,Fluxo_Diário!O:O)</f>
        <v>0</v>
      </c>
      <c r="D44" s="14">
        <f>SUMIF(Fluxo_Diário!$I:$I,Fluxo_Realizado!$B44,Fluxo_Diário!P:P)</f>
        <v>0</v>
      </c>
      <c r="E44" s="14">
        <f>SUMIF(Fluxo_Diário!$I:$I,Fluxo_Realizado!$B44,Fluxo_Diário!Q:Q)</f>
        <v>0</v>
      </c>
      <c r="F44" s="14">
        <f>SUMIF(Fluxo_Diário!$I:$I,Fluxo_Realizado!$B44,Fluxo_Diário!R:R)</f>
        <v>0</v>
      </c>
      <c r="G44" s="14">
        <f>SUMIF(Fluxo_Diário!$I:$I,Fluxo_Realizado!$B44,Fluxo_Diário!S:S)</f>
        <v>0</v>
      </c>
      <c r="H44" s="14">
        <f>SUMIF(Fluxo_Diário!$I:$I,Fluxo_Realizado!$B44,Fluxo_Diário!T:T)</f>
        <v>0</v>
      </c>
      <c r="I44" s="14">
        <f>SUMIF(Fluxo_Diário!$I:$I,Fluxo_Realizado!$B44,Fluxo_Diário!U:U)</f>
        <v>0</v>
      </c>
      <c r="J44" s="14">
        <f>SUMIF(Fluxo_Diário!$I:$I,Fluxo_Realizado!$B44,Fluxo_Diário!V:V)</f>
        <v>0</v>
      </c>
      <c r="K44" s="14">
        <f>SUMIF(Fluxo_Diário!$I:$I,Fluxo_Realizado!$B44,Fluxo_Diário!W:W)</f>
        <v>0</v>
      </c>
      <c r="L44" s="14">
        <f>SUMIF(Fluxo_Diário!$I:$I,Fluxo_Realizado!$B44,Fluxo_Diário!X:X)</f>
        <v>0</v>
      </c>
      <c r="M44" s="14">
        <f>SUMIF(Fluxo_Diário!$I:$I,Fluxo_Realizado!$B44,Fluxo_Diário!Y:Y)</f>
        <v>0</v>
      </c>
      <c r="N44" s="14">
        <f>SUMIF(Fluxo_Diário!$I:$I,Fluxo_Realizado!$B44,Fluxo_Diário!Z:Z)</f>
        <v>0</v>
      </c>
      <c r="O44" s="14">
        <f>SUMIF(Fluxo_Diário!$I:$I,Fluxo_Realizado!$B44,Fluxo_Diário!AA:AA)</f>
        <v>0</v>
      </c>
      <c r="P44" s="11">
        <f t="shared" si="1"/>
        <v>0</v>
      </c>
      <c r="Q44" s="8">
        <f t="shared" si="2"/>
        <v>0</v>
      </c>
    </row>
    <row r="45" spans="2:17" outlineLevel="1" x14ac:dyDescent="0.25">
      <c r="B45" s="8" t="str">
        <f>'Plano de Contas'!B45</f>
        <v>Treinamento</v>
      </c>
      <c r="C45" s="14">
        <f>SUMIF(Fluxo_Diário!$I:$I,Fluxo_Realizado!$B45,Fluxo_Diário!O:O)</f>
        <v>0</v>
      </c>
      <c r="D45" s="14">
        <f>SUMIF(Fluxo_Diário!$I:$I,Fluxo_Realizado!$B45,Fluxo_Diário!P:P)</f>
        <v>0</v>
      </c>
      <c r="E45" s="14">
        <f>SUMIF(Fluxo_Diário!$I:$I,Fluxo_Realizado!$B45,Fluxo_Diário!Q:Q)</f>
        <v>0</v>
      </c>
      <c r="F45" s="14">
        <f>SUMIF(Fluxo_Diário!$I:$I,Fluxo_Realizado!$B45,Fluxo_Diário!R:R)</f>
        <v>0</v>
      </c>
      <c r="G45" s="14">
        <f>SUMIF(Fluxo_Diário!$I:$I,Fluxo_Realizado!$B45,Fluxo_Diário!S:S)</f>
        <v>0</v>
      </c>
      <c r="H45" s="14">
        <f>SUMIF(Fluxo_Diário!$I:$I,Fluxo_Realizado!$B45,Fluxo_Diário!T:T)</f>
        <v>0</v>
      </c>
      <c r="I45" s="14">
        <f>SUMIF(Fluxo_Diário!$I:$I,Fluxo_Realizado!$B45,Fluxo_Diário!U:U)</f>
        <v>0</v>
      </c>
      <c r="J45" s="14">
        <f>SUMIF(Fluxo_Diário!$I:$I,Fluxo_Realizado!$B45,Fluxo_Diário!V:V)</f>
        <v>0</v>
      </c>
      <c r="K45" s="14">
        <f>SUMIF(Fluxo_Diário!$I:$I,Fluxo_Realizado!$B45,Fluxo_Diário!W:W)</f>
        <v>0</v>
      </c>
      <c r="L45" s="14">
        <f>SUMIF(Fluxo_Diário!$I:$I,Fluxo_Realizado!$B45,Fluxo_Diário!X:X)</f>
        <v>0</v>
      </c>
      <c r="M45" s="14">
        <f>SUMIF(Fluxo_Diário!$I:$I,Fluxo_Realizado!$B45,Fluxo_Diário!Y:Y)</f>
        <v>0</v>
      </c>
      <c r="N45" s="14">
        <f>SUMIF(Fluxo_Diário!$I:$I,Fluxo_Realizado!$B45,Fluxo_Diário!Z:Z)</f>
        <v>0</v>
      </c>
      <c r="O45" s="14">
        <f>SUMIF(Fluxo_Diário!$I:$I,Fluxo_Realizado!$B45,Fluxo_Diário!AA:AA)</f>
        <v>0</v>
      </c>
      <c r="P45" s="11">
        <f t="shared" si="1"/>
        <v>0</v>
      </c>
      <c r="Q45" s="8">
        <f t="shared" si="2"/>
        <v>0</v>
      </c>
    </row>
    <row r="46" spans="2:17" x14ac:dyDescent="0.25">
      <c r="B46" s="22" t="str">
        <f>'Plano de Contas'!B46</f>
        <v>ENTRADA FL. FINANCIAMENTO</v>
      </c>
      <c r="C46" s="23">
        <f t="shared" ref="C46:O46" si="7">SUM(C47:C48)</f>
        <v>0</v>
      </c>
      <c r="D46" s="23">
        <f t="shared" si="7"/>
        <v>0</v>
      </c>
      <c r="E46" s="23">
        <f t="shared" si="7"/>
        <v>0</v>
      </c>
      <c r="F46" s="23">
        <f t="shared" si="7"/>
        <v>0</v>
      </c>
      <c r="G46" s="23">
        <f t="shared" si="7"/>
        <v>0</v>
      </c>
      <c r="H46" s="23">
        <f t="shared" si="7"/>
        <v>0</v>
      </c>
      <c r="I46" s="23">
        <f t="shared" si="7"/>
        <v>0</v>
      </c>
      <c r="J46" s="23">
        <f t="shared" si="7"/>
        <v>0</v>
      </c>
      <c r="K46" s="23">
        <f t="shared" si="7"/>
        <v>0</v>
      </c>
      <c r="L46" s="23">
        <f t="shared" si="7"/>
        <v>0</v>
      </c>
      <c r="M46" s="23">
        <f t="shared" si="7"/>
        <v>0</v>
      </c>
      <c r="N46" s="23">
        <f t="shared" si="7"/>
        <v>0</v>
      </c>
      <c r="O46" s="23">
        <f t="shared" si="7"/>
        <v>0</v>
      </c>
      <c r="P46" s="23">
        <f t="shared" si="1"/>
        <v>0</v>
      </c>
      <c r="Q46" s="23">
        <f t="shared" si="2"/>
        <v>0</v>
      </c>
    </row>
    <row r="47" spans="2:17" outlineLevel="1" x14ac:dyDescent="0.25">
      <c r="B47" s="8" t="str">
        <f>'Plano de Contas'!B47</f>
        <v>Aporte Sócios</v>
      </c>
      <c r="C47" s="14">
        <f>SUMIF(Fluxo_Diário!$I:$I,Fluxo_Realizado!$B47,Fluxo_Diário!O:O)</f>
        <v>0</v>
      </c>
      <c r="D47" s="14">
        <f>SUMIF(Fluxo_Diário!$I:$I,Fluxo_Realizado!$B47,Fluxo_Diário!P:P)</f>
        <v>0</v>
      </c>
      <c r="E47" s="14">
        <f>SUMIF(Fluxo_Diário!$I:$I,Fluxo_Realizado!$B47,Fluxo_Diário!Q:Q)</f>
        <v>0</v>
      </c>
      <c r="F47" s="14">
        <f>SUMIF(Fluxo_Diário!$I:$I,Fluxo_Realizado!$B47,Fluxo_Diário!R:R)</f>
        <v>0</v>
      </c>
      <c r="G47" s="14">
        <f>SUMIF(Fluxo_Diário!$I:$I,Fluxo_Realizado!$B47,Fluxo_Diário!S:S)</f>
        <v>0</v>
      </c>
      <c r="H47" s="14">
        <f>SUMIF(Fluxo_Diário!$I:$I,Fluxo_Realizado!$B47,Fluxo_Diário!T:T)</f>
        <v>0</v>
      </c>
      <c r="I47" s="14">
        <f>SUMIF(Fluxo_Diário!$I:$I,Fluxo_Realizado!$B47,Fluxo_Diário!U:U)</f>
        <v>0</v>
      </c>
      <c r="J47" s="14">
        <f>SUMIF(Fluxo_Diário!$I:$I,Fluxo_Realizado!$B47,Fluxo_Diário!V:V)</f>
        <v>0</v>
      </c>
      <c r="K47" s="14">
        <f>SUMIF(Fluxo_Diário!$I:$I,Fluxo_Realizado!$B47,Fluxo_Diário!W:W)</f>
        <v>0</v>
      </c>
      <c r="L47" s="14">
        <f>SUMIF(Fluxo_Diário!$I:$I,Fluxo_Realizado!$B47,Fluxo_Diário!X:X)</f>
        <v>0</v>
      </c>
      <c r="M47" s="14">
        <f>SUMIF(Fluxo_Diário!$I:$I,Fluxo_Realizado!$B47,Fluxo_Diário!Y:Y)</f>
        <v>0</v>
      </c>
      <c r="N47" s="14">
        <f>SUMIF(Fluxo_Diário!$I:$I,Fluxo_Realizado!$B47,Fluxo_Diário!Z:Z)</f>
        <v>0</v>
      </c>
      <c r="O47" s="14">
        <f>SUMIF(Fluxo_Diário!$I:$I,Fluxo_Realizado!$B47,Fluxo_Diário!AA:AA)</f>
        <v>0</v>
      </c>
      <c r="P47" s="11">
        <f t="shared" si="1"/>
        <v>0</v>
      </c>
      <c r="Q47" s="11">
        <f t="shared" si="2"/>
        <v>0</v>
      </c>
    </row>
    <row r="48" spans="2:17" outlineLevel="1" x14ac:dyDescent="0.25">
      <c r="B48" s="8" t="str">
        <f>'Plano de Contas'!B48</f>
        <v>Recebimento de Empréstimo</v>
      </c>
      <c r="C48" s="11">
        <f>IF(SUM(C54,C64,C65,C49)&lt;0,-1*SUM(C54,C64,C65,C49),0)</f>
        <v>0</v>
      </c>
      <c r="D48" s="11">
        <f t="shared" ref="D48:N48" si="8">IF(SUM(D54,D64,D65,D49)&lt;0,-1*SUM(D54,D64,D65,D49),0)</f>
        <v>0</v>
      </c>
      <c r="E48" s="11">
        <f t="shared" si="8"/>
        <v>0</v>
      </c>
      <c r="F48" s="11">
        <f t="shared" si="8"/>
        <v>0</v>
      </c>
      <c r="G48" s="11">
        <f t="shared" si="8"/>
        <v>0</v>
      </c>
      <c r="H48" s="11">
        <f t="shared" si="8"/>
        <v>0</v>
      </c>
      <c r="I48" s="11">
        <f t="shared" si="8"/>
        <v>0</v>
      </c>
      <c r="J48" s="11">
        <f t="shared" si="8"/>
        <v>0</v>
      </c>
      <c r="K48" s="11">
        <f t="shared" si="8"/>
        <v>0</v>
      </c>
      <c r="L48" s="11">
        <f t="shared" si="8"/>
        <v>0</v>
      </c>
      <c r="M48" s="11">
        <f t="shared" si="8"/>
        <v>0</v>
      </c>
      <c r="N48" s="11">
        <f t="shared" si="8"/>
        <v>0</v>
      </c>
      <c r="O48" s="11"/>
      <c r="P48" s="11">
        <f t="shared" si="1"/>
        <v>0</v>
      </c>
      <c r="Q48" s="11">
        <f>IF(P48=0,0,AVERAGE(C48:O48))</f>
        <v>0</v>
      </c>
    </row>
    <row r="49" spans="2:17" x14ac:dyDescent="0.25">
      <c r="B49" s="24" t="str">
        <f>'Plano de Contas'!B49</f>
        <v>SAÍDA FL. FINANCIAMENTO</v>
      </c>
      <c r="C49" s="25">
        <f t="shared" ref="C49:O49" si="9">SUM(C50:C52)</f>
        <v>-15516.800000000001</v>
      </c>
      <c r="D49" s="25">
        <f t="shared" si="9"/>
        <v>-556.4</v>
      </c>
      <c r="E49" s="25">
        <f t="shared" si="9"/>
        <v>-19763.600000000002</v>
      </c>
      <c r="F49" s="25">
        <f t="shared" si="9"/>
        <v>-5260.8</v>
      </c>
      <c r="G49" s="25">
        <f t="shared" si="9"/>
        <v>-15817.2</v>
      </c>
      <c r="H49" s="25">
        <f t="shared" si="9"/>
        <v>-32732.400000000001</v>
      </c>
      <c r="I49" s="25">
        <f t="shared" si="9"/>
        <v>-28394.800000000003</v>
      </c>
      <c r="J49" s="25">
        <f t="shared" si="9"/>
        <v>0</v>
      </c>
      <c r="K49" s="25">
        <f t="shared" si="9"/>
        <v>0</v>
      </c>
      <c r="L49" s="25">
        <f t="shared" si="9"/>
        <v>0</v>
      </c>
      <c r="M49" s="25">
        <f t="shared" si="9"/>
        <v>0</v>
      </c>
      <c r="N49" s="25">
        <f t="shared" si="9"/>
        <v>0</v>
      </c>
      <c r="O49" s="25">
        <f t="shared" si="9"/>
        <v>0</v>
      </c>
      <c r="P49" s="25">
        <f t="shared" si="1"/>
        <v>-118042.00000000001</v>
      </c>
      <c r="Q49" s="25">
        <f t="shared" si="2"/>
        <v>-9080.1538461538476</v>
      </c>
    </row>
    <row r="50" spans="2:17" outlineLevel="1" x14ac:dyDescent="0.25">
      <c r="B50" s="8" t="str">
        <f>'Plano de Contas'!B50</f>
        <v>Distribuição de Lucros</v>
      </c>
      <c r="C50" s="11">
        <f>IF(C66&gt;0,-40%*C66,0)</f>
        <v>-15516.800000000001</v>
      </c>
      <c r="D50" s="11">
        <f>IF(D66&gt;0,-40%*D66,0)</f>
        <v>-556.4</v>
      </c>
      <c r="E50" s="11">
        <f t="shared" ref="E50:O50" si="10">IF(E66&gt;0,-40%*E66,0)</f>
        <v>-19763.600000000002</v>
      </c>
      <c r="F50" s="11">
        <f t="shared" si="10"/>
        <v>-5260.8</v>
      </c>
      <c r="G50" s="11">
        <f t="shared" si="10"/>
        <v>-15817.2</v>
      </c>
      <c r="H50" s="11">
        <f t="shared" si="10"/>
        <v>-32732.400000000001</v>
      </c>
      <c r="I50" s="11">
        <f t="shared" si="10"/>
        <v>-28394.800000000003</v>
      </c>
      <c r="J50" s="11">
        <f t="shared" si="10"/>
        <v>0</v>
      </c>
      <c r="K50" s="11">
        <f t="shared" si="10"/>
        <v>0</v>
      </c>
      <c r="L50" s="11">
        <f t="shared" si="10"/>
        <v>0</v>
      </c>
      <c r="M50" s="11">
        <f t="shared" si="10"/>
        <v>0</v>
      </c>
      <c r="N50" s="11">
        <f t="shared" si="10"/>
        <v>0</v>
      </c>
      <c r="O50" s="11">
        <f t="shared" si="10"/>
        <v>0</v>
      </c>
      <c r="P50" s="11">
        <f t="shared" si="1"/>
        <v>-118042.00000000001</v>
      </c>
      <c r="Q50" s="11">
        <f t="shared" si="2"/>
        <v>-9080.1538461538476</v>
      </c>
    </row>
    <row r="51" spans="2:17" outlineLevel="1" x14ac:dyDescent="0.25">
      <c r="B51" s="8" t="str">
        <f>'Plano de Contas'!B51</f>
        <v>Pgto. empréstimo (principal)</v>
      </c>
      <c r="C51" s="11"/>
      <c r="D51" s="11">
        <f>IF(C48=0,0,-C48)</f>
        <v>0</v>
      </c>
      <c r="E51" s="11">
        <f t="shared" ref="E51:O51" si="11">IF(D48=0,0,-D48)</f>
        <v>0</v>
      </c>
      <c r="F51" s="11">
        <f t="shared" si="11"/>
        <v>0</v>
      </c>
      <c r="G51" s="11">
        <f t="shared" si="11"/>
        <v>0</v>
      </c>
      <c r="H51" s="11">
        <f t="shared" si="11"/>
        <v>0</v>
      </c>
      <c r="I51" s="11">
        <f t="shared" si="11"/>
        <v>0</v>
      </c>
      <c r="J51" s="11">
        <f t="shared" si="11"/>
        <v>0</v>
      </c>
      <c r="K51" s="11">
        <f t="shared" si="11"/>
        <v>0</v>
      </c>
      <c r="L51" s="11">
        <f t="shared" si="11"/>
        <v>0</v>
      </c>
      <c r="M51" s="11">
        <f t="shared" si="11"/>
        <v>0</v>
      </c>
      <c r="N51" s="11">
        <f t="shared" si="11"/>
        <v>0</v>
      </c>
      <c r="O51" s="11">
        <f t="shared" si="11"/>
        <v>0</v>
      </c>
      <c r="P51" s="11">
        <f t="shared" si="1"/>
        <v>0</v>
      </c>
      <c r="Q51" s="11">
        <f t="shared" si="2"/>
        <v>0</v>
      </c>
    </row>
    <row r="52" spans="2:17" outlineLevel="1" x14ac:dyDescent="0.25">
      <c r="B52" s="8" t="str">
        <f>'Plano de Contas'!B52</f>
        <v>Pgto. empréstimo (juros)</v>
      </c>
      <c r="C52" s="11"/>
      <c r="D52" s="11">
        <f>IF(D51=0,0,2%*D51)</f>
        <v>0</v>
      </c>
      <c r="E52" s="11">
        <f t="shared" ref="E52:O52" si="12">IF(E51=0,0,2%*E51)</f>
        <v>0</v>
      </c>
      <c r="F52" s="11">
        <f t="shared" si="12"/>
        <v>0</v>
      </c>
      <c r="G52" s="11">
        <f t="shared" si="12"/>
        <v>0</v>
      </c>
      <c r="H52" s="11">
        <f t="shared" si="12"/>
        <v>0</v>
      </c>
      <c r="I52" s="11">
        <f t="shared" si="12"/>
        <v>0</v>
      </c>
      <c r="J52" s="11">
        <f t="shared" si="12"/>
        <v>0</v>
      </c>
      <c r="K52" s="11">
        <f t="shared" si="12"/>
        <v>0</v>
      </c>
      <c r="L52" s="11">
        <f t="shared" si="12"/>
        <v>0</v>
      </c>
      <c r="M52" s="11">
        <f t="shared" si="12"/>
        <v>0</v>
      </c>
      <c r="N52" s="11">
        <f t="shared" si="12"/>
        <v>0</v>
      </c>
      <c r="O52" s="11">
        <f t="shared" si="12"/>
        <v>0</v>
      </c>
      <c r="P52" s="11">
        <f t="shared" si="1"/>
        <v>0</v>
      </c>
      <c r="Q52" s="11">
        <f t="shared" si="2"/>
        <v>0</v>
      </c>
    </row>
    <row r="54" spans="2:17" x14ac:dyDescent="0.25">
      <c r="B54" s="21" t="s">
        <v>134</v>
      </c>
      <c r="C54" s="26">
        <f>Premissas!C5</f>
        <v>0</v>
      </c>
      <c r="D54" s="26">
        <f>C62</f>
        <v>23275.199999999997</v>
      </c>
      <c r="E54" s="26">
        <f t="shared" ref="E54:O54" si="13">D62</f>
        <v>24109.799999999996</v>
      </c>
      <c r="F54" s="26">
        <f t="shared" si="13"/>
        <v>53755.199999999983</v>
      </c>
      <c r="G54" s="26">
        <f t="shared" si="13"/>
        <v>61646.39999999998</v>
      </c>
      <c r="H54" s="26">
        <f t="shared" si="13"/>
        <v>85372.199999999983</v>
      </c>
      <c r="I54" s="26">
        <f t="shared" si="13"/>
        <v>134470.79999999999</v>
      </c>
      <c r="J54" s="26">
        <f t="shared" si="13"/>
        <v>177063</v>
      </c>
      <c r="K54" s="26">
        <f t="shared" si="13"/>
        <v>175708</v>
      </c>
      <c r="L54" s="26">
        <f t="shared" si="13"/>
        <v>175708</v>
      </c>
      <c r="M54" s="26">
        <f t="shared" si="13"/>
        <v>175708</v>
      </c>
      <c r="N54" s="26">
        <f t="shared" si="13"/>
        <v>175708</v>
      </c>
      <c r="O54" s="26">
        <f t="shared" si="13"/>
        <v>175708</v>
      </c>
      <c r="P54" s="26">
        <f>SUM(C54:O54)</f>
        <v>1438232.6</v>
      </c>
      <c r="Q54" s="26">
        <f>IF(P54=0,0,AVERAGE(C54:O54))</f>
        <v>110633.27692307693</v>
      </c>
    </row>
    <row r="55" spans="2:17" x14ac:dyDescent="0.25">
      <c r="B55" s="22" t="str">
        <f>B5</f>
        <v>RECEITAS OPERACIONAIS</v>
      </c>
      <c r="C55" s="23">
        <f t="shared" ref="C55:O55" si="14">C5</f>
        <v>56325</v>
      </c>
      <c r="D55" s="23">
        <f t="shared" si="14"/>
        <v>19889</v>
      </c>
      <c r="E55" s="23">
        <f t="shared" si="14"/>
        <v>62947</v>
      </c>
      <c r="F55" s="23">
        <f t="shared" si="14"/>
        <v>31838</v>
      </c>
      <c r="G55" s="23">
        <f t="shared" si="14"/>
        <v>53566</v>
      </c>
      <c r="H55" s="23">
        <f t="shared" si="14"/>
        <v>91372</v>
      </c>
      <c r="I55" s="23">
        <f t="shared" si="14"/>
        <v>77493</v>
      </c>
      <c r="J55" s="23">
        <f t="shared" si="14"/>
        <v>0</v>
      </c>
      <c r="K55" s="23">
        <f t="shared" si="14"/>
        <v>0</v>
      </c>
      <c r="L55" s="23">
        <f t="shared" si="14"/>
        <v>0</v>
      </c>
      <c r="M55" s="23">
        <f t="shared" si="14"/>
        <v>0</v>
      </c>
      <c r="N55" s="23">
        <f t="shared" si="14"/>
        <v>0</v>
      </c>
      <c r="O55" s="23">
        <f t="shared" si="14"/>
        <v>0</v>
      </c>
      <c r="P55" s="23">
        <f t="shared" ref="P55:P61" si="15">SUM(C55:O55)</f>
        <v>393430</v>
      </c>
      <c r="Q55" s="23">
        <f t="shared" ref="Q55:Q61" si="16">IF(P55=0,0,AVERAGE(C55:O55))</f>
        <v>30263.846153846152</v>
      </c>
    </row>
    <row r="56" spans="2:17" x14ac:dyDescent="0.25">
      <c r="B56" s="24" t="str">
        <f>B11</f>
        <v>DESPESAS FIXAS</v>
      </c>
      <c r="C56" s="25">
        <f t="shared" ref="C56:O56" si="17">C11</f>
        <v>-14820</v>
      </c>
      <c r="D56" s="25">
        <f t="shared" si="17"/>
        <v>-10767</v>
      </c>
      <c r="E56" s="25">
        <f t="shared" si="17"/>
        <v>-11236</v>
      </c>
      <c r="F56" s="25">
        <f t="shared" si="17"/>
        <v>-13123</v>
      </c>
      <c r="G56" s="25">
        <f t="shared" si="17"/>
        <v>-11170</v>
      </c>
      <c r="H56" s="25">
        <f t="shared" si="17"/>
        <v>-7145</v>
      </c>
      <c r="I56" s="25">
        <f t="shared" si="17"/>
        <v>-6506</v>
      </c>
      <c r="J56" s="25">
        <f t="shared" si="17"/>
        <v>-1355</v>
      </c>
      <c r="K56" s="25">
        <f t="shared" si="17"/>
        <v>0</v>
      </c>
      <c r="L56" s="25">
        <f t="shared" si="17"/>
        <v>0</v>
      </c>
      <c r="M56" s="25">
        <f t="shared" si="17"/>
        <v>0</v>
      </c>
      <c r="N56" s="25">
        <f t="shared" si="17"/>
        <v>0</v>
      </c>
      <c r="O56" s="25">
        <f t="shared" si="17"/>
        <v>0</v>
      </c>
      <c r="P56" s="25">
        <f t="shared" si="15"/>
        <v>-76122</v>
      </c>
      <c r="Q56" s="25">
        <f t="shared" si="16"/>
        <v>-5855.5384615384619</v>
      </c>
    </row>
    <row r="57" spans="2:17" x14ac:dyDescent="0.25">
      <c r="B57" s="24" t="str">
        <f>B33</f>
        <v>DESPESAS VARIÁVEIS</v>
      </c>
      <c r="C57" s="25">
        <f t="shared" ref="C57:O57" si="18">C33</f>
        <v>-2713</v>
      </c>
      <c r="D57" s="25">
        <f t="shared" si="18"/>
        <v>-7731</v>
      </c>
      <c r="E57" s="25">
        <f t="shared" si="18"/>
        <v>-2302</v>
      </c>
      <c r="F57" s="25">
        <f t="shared" si="18"/>
        <v>-5563</v>
      </c>
      <c r="G57" s="25">
        <f t="shared" si="18"/>
        <v>-2853</v>
      </c>
      <c r="H57" s="25">
        <f t="shared" si="18"/>
        <v>-2396</v>
      </c>
      <c r="I57" s="25">
        <f t="shared" si="18"/>
        <v>0</v>
      </c>
      <c r="J57" s="25">
        <f t="shared" si="18"/>
        <v>0</v>
      </c>
      <c r="K57" s="25">
        <f t="shared" si="18"/>
        <v>0</v>
      </c>
      <c r="L57" s="25">
        <f t="shared" si="18"/>
        <v>0</v>
      </c>
      <c r="M57" s="25">
        <f t="shared" si="18"/>
        <v>0</v>
      </c>
      <c r="N57" s="25">
        <f t="shared" si="18"/>
        <v>0</v>
      </c>
      <c r="O57" s="25">
        <f t="shared" si="18"/>
        <v>0</v>
      </c>
      <c r="P57" s="25">
        <f t="shared" si="15"/>
        <v>-23558</v>
      </c>
      <c r="Q57" s="25">
        <f t="shared" si="16"/>
        <v>-1812.1538461538462</v>
      </c>
    </row>
    <row r="58" spans="2:17" x14ac:dyDescent="0.25">
      <c r="B58" s="22" t="str">
        <f>B39</f>
        <v>ENTRADA FL. INVESTIMENTO</v>
      </c>
      <c r="C58" s="23">
        <f t="shared" ref="C58:O58" si="19">C39</f>
        <v>0</v>
      </c>
      <c r="D58" s="23">
        <f t="shared" si="19"/>
        <v>0</v>
      </c>
      <c r="E58" s="23">
        <f t="shared" si="19"/>
        <v>0</v>
      </c>
      <c r="F58" s="23">
        <f t="shared" si="19"/>
        <v>0</v>
      </c>
      <c r="G58" s="23">
        <f t="shared" si="19"/>
        <v>0</v>
      </c>
      <c r="H58" s="23">
        <f t="shared" si="19"/>
        <v>0</v>
      </c>
      <c r="I58" s="23">
        <f t="shared" si="19"/>
        <v>0</v>
      </c>
      <c r="J58" s="23">
        <f t="shared" si="19"/>
        <v>0</v>
      </c>
      <c r="K58" s="23">
        <f t="shared" si="19"/>
        <v>0</v>
      </c>
      <c r="L58" s="23">
        <f t="shared" si="19"/>
        <v>0</v>
      </c>
      <c r="M58" s="23">
        <f t="shared" si="19"/>
        <v>0</v>
      </c>
      <c r="N58" s="23">
        <f t="shared" si="19"/>
        <v>0</v>
      </c>
      <c r="O58" s="23">
        <f t="shared" si="19"/>
        <v>0</v>
      </c>
      <c r="P58" s="23">
        <f t="shared" si="15"/>
        <v>0</v>
      </c>
      <c r="Q58" s="23">
        <f t="shared" si="16"/>
        <v>0</v>
      </c>
    </row>
    <row r="59" spans="2:17" x14ac:dyDescent="0.25">
      <c r="B59" s="24" t="str">
        <f>B42</f>
        <v>SAÍDA FL. INVESTIMENTO</v>
      </c>
      <c r="C59" s="25">
        <f t="shared" ref="C59:O59" si="20">C42</f>
        <v>0</v>
      </c>
      <c r="D59" s="25">
        <f t="shared" si="20"/>
        <v>0</v>
      </c>
      <c r="E59" s="25">
        <f t="shared" si="20"/>
        <v>0</v>
      </c>
      <c r="F59" s="25">
        <f t="shared" si="20"/>
        <v>0</v>
      </c>
      <c r="G59" s="25">
        <f t="shared" si="20"/>
        <v>0</v>
      </c>
      <c r="H59" s="25">
        <f t="shared" si="20"/>
        <v>0</v>
      </c>
      <c r="I59" s="25">
        <f t="shared" si="20"/>
        <v>0</v>
      </c>
      <c r="J59" s="25">
        <f t="shared" si="20"/>
        <v>0</v>
      </c>
      <c r="K59" s="25">
        <f t="shared" si="20"/>
        <v>0</v>
      </c>
      <c r="L59" s="25">
        <f t="shared" si="20"/>
        <v>0</v>
      </c>
      <c r="M59" s="25">
        <f t="shared" si="20"/>
        <v>0</v>
      </c>
      <c r="N59" s="25">
        <f t="shared" si="20"/>
        <v>0</v>
      </c>
      <c r="O59" s="25">
        <f t="shared" si="20"/>
        <v>0</v>
      </c>
      <c r="P59" s="25">
        <f t="shared" si="15"/>
        <v>0</v>
      </c>
      <c r="Q59" s="25">
        <f t="shared" si="16"/>
        <v>0</v>
      </c>
    </row>
    <row r="60" spans="2:17" x14ac:dyDescent="0.25">
      <c r="B60" s="22" t="str">
        <f>B46</f>
        <v>ENTRADA FL. FINANCIAMENTO</v>
      </c>
      <c r="C60" s="23">
        <f t="shared" ref="C60:O60" si="21">C46</f>
        <v>0</v>
      </c>
      <c r="D60" s="23">
        <f t="shared" si="21"/>
        <v>0</v>
      </c>
      <c r="E60" s="23">
        <f t="shared" si="21"/>
        <v>0</v>
      </c>
      <c r="F60" s="23">
        <f t="shared" si="21"/>
        <v>0</v>
      </c>
      <c r="G60" s="23">
        <f t="shared" si="21"/>
        <v>0</v>
      </c>
      <c r="H60" s="23">
        <f t="shared" si="21"/>
        <v>0</v>
      </c>
      <c r="I60" s="23">
        <f t="shared" si="21"/>
        <v>0</v>
      </c>
      <c r="J60" s="23">
        <f t="shared" si="21"/>
        <v>0</v>
      </c>
      <c r="K60" s="23">
        <f t="shared" si="21"/>
        <v>0</v>
      </c>
      <c r="L60" s="23">
        <f t="shared" si="21"/>
        <v>0</v>
      </c>
      <c r="M60" s="23">
        <f t="shared" si="21"/>
        <v>0</v>
      </c>
      <c r="N60" s="23">
        <f t="shared" si="21"/>
        <v>0</v>
      </c>
      <c r="O60" s="23">
        <f t="shared" si="21"/>
        <v>0</v>
      </c>
      <c r="P60" s="23">
        <f t="shared" si="15"/>
        <v>0</v>
      </c>
      <c r="Q60" s="23">
        <f t="shared" si="16"/>
        <v>0</v>
      </c>
    </row>
    <row r="61" spans="2:17" x14ac:dyDescent="0.25">
      <c r="B61" s="24" t="str">
        <f>B49</f>
        <v>SAÍDA FL. FINANCIAMENTO</v>
      </c>
      <c r="C61" s="25">
        <f t="shared" ref="C61:O61" si="22">C49</f>
        <v>-15516.800000000001</v>
      </c>
      <c r="D61" s="25">
        <f t="shared" si="22"/>
        <v>-556.4</v>
      </c>
      <c r="E61" s="25">
        <f t="shared" si="22"/>
        <v>-19763.600000000002</v>
      </c>
      <c r="F61" s="25">
        <f t="shared" si="22"/>
        <v>-5260.8</v>
      </c>
      <c r="G61" s="25">
        <f t="shared" si="22"/>
        <v>-15817.2</v>
      </c>
      <c r="H61" s="25">
        <f t="shared" si="22"/>
        <v>-32732.400000000001</v>
      </c>
      <c r="I61" s="25">
        <f t="shared" si="22"/>
        <v>-28394.800000000003</v>
      </c>
      <c r="J61" s="25">
        <f t="shared" si="22"/>
        <v>0</v>
      </c>
      <c r="K61" s="25">
        <f t="shared" si="22"/>
        <v>0</v>
      </c>
      <c r="L61" s="25">
        <f t="shared" si="22"/>
        <v>0</v>
      </c>
      <c r="M61" s="25">
        <f t="shared" si="22"/>
        <v>0</v>
      </c>
      <c r="N61" s="25">
        <f t="shared" si="22"/>
        <v>0</v>
      </c>
      <c r="O61" s="25">
        <f t="shared" si="22"/>
        <v>0</v>
      </c>
      <c r="P61" s="25">
        <f t="shared" si="15"/>
        <v>-118042.00000000001</v>
      </c>
      <c r="Q61" s="25">
        <f t="shared" si="16"/>
        <v>-9080.1538461538476</v>
      </c>
    </row>
    <row r="62" spans="2:17" x14ac:dyDescent="0.25">
      <c r="B62" s="21" t="s">
        <v>135</v>
      </c>
      <c r="C62" s="26">
        <f>SUM(C54:C61)</f>
        <v>23275.199999999997</v>
      </c>
      <c r="D62" s="26">
        <f t="shared" ref="D62:O62" si="23">SUM(D54:D61)</f>
        <v>24109.799999999996</v>
      </c>
      <c r="E62" s="26">
        <f t="shared" si="23"/>
        <v>53755.199999999983</v>
      </c>
      <c r="F62" s="26">
        <f t="shared" si="23"/>
        <v>61646.39999999998</v>
      </c>
      <c r="G62" s="26">
        <f t="shared" si="23"/>
        <v>85372.199999999983</v>
      </c>
      <c r="H62" s="26">
        <f t="shared" si="23"/>
        <v>134470.79999999999</v>
      </c>
      <c r="I62" s="26">
        <f t="shared" si="23"/>
        <v>177063</v>
      </c>
      <c r="J62" s="26">
        <f t="shared" si="23"/>
        <v>175708</v>
      </c>
      <c r="K62" s="26">
        <f t="shared" si="23"/>
        <v>175708</v>
      </c>
      <c r="L62" s="26">
        <f t="shared" si="23"/>
        <v>175708</v>
      </c>
      <c r="M62" s="26">
        <f t="shared" si="23"/>
        <v>175708</v>
      </c>
      <c r="N62" s="26">
        <f t="shared" si="23"/>
        <v>175708</v>
      </c>
      <c r="O62" s="26">
        <f t="shared" si="23"/>
        <v>175708</v>
      </c>
      <c r="P62" s="26">
        <f>SUM(C62:O62)</f>
        <v>1613940.6</v>
      </c>
      <c r="Q62" s="26">
        <f>IF(P62=0,0,AVERAGE(C62:O62))</f>
        <v>124149.27692307693</v>
      </c>
    </row>
    <row r="64" spans="2:17" x14ac:dyDescent="0.25">
      <c r="B64" s="8" t="s">
        <v>137</v>
      </c>
      <c r="C64" s="11">
        <f>SUM(C55:C57)</f>
        <v>38792</v>
      </c>
      <c r="D64" s="11">
        <f t="shared" ref="D64:Q64" si="24">SUM(D55:D57)</f>
        <v>1391</v>
      </c>
      <c r="E64" s="11">
        <f t="shared" si="24"/>
        <v>49409</v>
      </c>
      <c r="F64" s="11">
        <f t="shared" si="24"/>
        <v>13152</v>
      </c>
      <c r="G64" s="11">
        <f t="shared" si="24"/>
        <v>39543</v>
      </c>
      <c r="H64" s="11">
        <f t="shared" si="24"/>
        <v>81831</v>
      </c>
      <c r="I64" s="11">
        <f t="shared" si="24"/>
        <v>70987</v>
      </c>
      <c r="J64" s="11">
        <f t="shared" si="24"/>
        <v>-1355</v>
      </c>
      <c r="K64" s="11">
        <f t="shared" si="24"/>
        <v>0</v>
      </c>
      <c r="L64" s="11">
        <f t="shared" si="24"/>
        <v>0</v>
      </c>
      <c r="M64" s="11">
        <f t="shared" si="24"/>
        <v>0</v>
      </c>
      <c r="N64" s="11">
        <f t="shared" si="24"/>
        <v>0</v>
      </c>
      <c r="O64" s="11">
        <f t="shared" si="24"/>
        <v>0</v>
      </c>
      <c r="P64" s="11">
        <f t="shared" si="24"/>
        <v>293750</v>
      </c>
      <c r="Q64" s="11">
        <f t="shared" si="24"/>
        <v>22596.153846153844</v>
      </c>
    </row>
    <row r="65" spans="2:17" x14ac:dyDescent="0.25">
      <c r="B65" s="8" t="s">
        <v>138</v>
      </c>
      <c r="C65" s="11">
        <f>SUM(C58:C59)</f>
        <v>0</v>
      </c>
      <c r="D65" s="11">
        <f t="shared" ref="D65:Q65" si="25">SUM(D58:D59)</f>
        <v>0</v>
      </c>
      <c r="E65" s="11">
        <f t="shared" si="25"/>
        <v>0</v>
      </c>
      <c r="F65" s="11">
        <f t="shared" si="25"/>
        <v>0</v>
      </c>
      <c r="G65" s="11">
        <f t="shared" si="25"/>
        <v>0</v>
      </c>
      <c r="H65" s="11">
        <f t="shared" si="25"/>
        <v>0</v>
      </c>
      <c r="I65" s="11">
        <f t="shared" si="25"/>
        <v>0</v>
      </c>
      <c r="J65" s="11">
        <f t="shared" si="25"/>
        <v>0</v>
      </c>
      <c r="K65" s="11">
        <f t="shared" si="25"/>
        <v>0</v>
      </c>
      <c r="L65" s="11">
        <f t="shared" si="25"/>
        <v>0</v>
      </c>
      <c r="M65" s="11">
        <f t="shared" si="25"/>
        <v>0</v>
      </c>
      <c r="N65" s="11">
        <f t="shared" si="25"/>
        <v>0</v>
      </c>
      <c r="O65" s="11">
        <f t="shared" si="25"/>
        <v>0</v>
      </c>
      <c r="P65" s="11">
        <f t="shared" si="25"/>
        <v>0</v>
      </c>
      <c r="Q65" s="11">
        <f t="shared" si="25"/>
        <v>0</v>
      </c>
    </row>
    <row r="66" spans="2:17" x14ac:dyDescent="0.25">
      <c r="B66" s="8" t="s">
        <v>139</v>
      </c>
      <c r="C66" s="11">
        <f>SUM(C64:C65)</f>
        <v>38792</v>
      </c>
      <c r="D66" s="11">
        <f t="shared" ref="D66:Q66" si="26">SUM(D64:D65)</f>
        <v>1391</v>
      </c>
      <c r="E66" s="11">
        <f t="shared" si="26"/>
        <v>49409</v>
      </c>
      <c r="F66" s="11">
        <f t="shared" si="26"/>
        <v>13152</v>
      </c>
      <c r="G66" s="11">
        <f t="shared" si="26"/>
        <v>39543</v>
      </c>
      <c r="H66" s="11">
        <f t="shared" si="26"/>
        <v>81831</v>
      </c>
      <c r="I66" s="11">
        <f t="shared" si="26"/>
        <v>70987</v>
      </c>
      <c r="J66" s="11">
        <f t="shared" si="26"/>
        <v>-1355</v>
      </c>
      <c r="K66" s="11">
        <f t="shared" si="26"/>
        <v>0</v>
      </c>
      <c r="L66" s="11">
        <f t="shared" si="26"/>
        <v>0</v>
      </c>
      <c r="M66" s="11">
        <f t="shared" si="26"/>
        <v>0</v>
      </c>
      <c r="N66" s="11">
        <f t="shared" si="26"/>
        <v>0</v>
      </c>
      <c r="O66" s="11">
        <f t="shared" si="26"/>
        <v>0</v>
      </c>
      <c r="P66" s="11">
        <f t="shared" si="26"/>
        <v>293750</v>
      </c>
      <c r="Q66" s="11">
        <f t="shared" si="26"/>
        <v>22596.153846153844</v>
      </c>
    </row>
    <row r="67" spans="2:17" x14ac:dyDescent="0.25">
      <c r="B67" s="8" t="s">
        <v>140</v>
      </c>
      <c r="C67" s="11">
        <f>SUM(C60:C61)</f>
        <v>-15516.800000000001</v>
      </c>
      <c r="D67" s="11">
        <f t="shared" ref="D67:Q67" si="27">SUM(D60:D61)</f>
        <v>-556.4</v>
      </c>
      <c r="E67" s="11">
        <f t="shared" si="27"/>
        <v>-19763.600000000002</v>
      </c>
      <c r="F67" s="11">
        <f t="shared" si="27"/>
        <v>-5260.8</v>
      </c>
      <c r="G67" s="11">
        <f t="shared" si="27"/>
        <v>-15817.2</v>
      </c>
      <c r="H67" s="11">
        <f t="shared" si="27"/>
        <v>-32732.400000000001</v>
      </c>
      <c r="I67" s="11">
        <f t="shared" si="27"/>
        <v>-28394.800000000003</v>
      </c>
      <c r="J67" s="11">
        <f t="shared" si="27"/>
        <v>0</v>
      </c>
      <c r="K67" s="11">
        <f t="shared" si="27"/>
        <v>0</v>
      </c>
      <c r="L67" s="11">
        <f t="shared" si="27"/>
        <v>0</v>
      </c>
      <c r="M67" s="11">
        <f t="shared" si="27"/>
        <v>0</v>
      </c>
      <c r="N67" s="11">
        <f t="shared" si="27"/>
        <v>0</v>
      </c>
      <c r="O67" s="11">
        <f t="shared" si="27"/>
        <v>0</v>
      </c>
      <c r="P67" s="11">
        <f t="shared" si="27"/>
        <v>-118042.00000000001</v>
      </c>
      <c r="Q67" s="11">
        <f t="shared" si="27"/>
        <v>-9080.1538461538476</v>
      </c>
    </row>
    <row r="68" spans="2:17" x14ac:dyDescent="0.25">
      <c r="B68" s="8" t="s">
        <v>141</v>
      </c>
      <c r="C68" s="27">
        <f>IFERROR(-C56/C55,"")</f>
        <v>0.26311584553928097</v>
      </c>
      <c r="D68" s="27">
        <f t="shared" ref="D68:N68" si="28">IFERROR(-D56/D55,"")</f>
        <v>0.5413545175725275</v>
      </c>
      <c r="E68" s="27">
        <f t="shared" si="28"/>
        <v>0.17849937248796607</v>
      </c>
      <c r="F68" s="27">
        <f t="shared" si="28"/>
        <v>0.41218041334254663</v>
      </c>
      <c r="G68" s="27">
        <f t="shared" si="28"/>
        <v>0.20852779748347833</v>
      </c>
      <c r="H68" s="27">
        <f t="shared" si="28"/>
        <v>7.8196821783478532E-2</v>
      </c>
      <c r="I68" s="27">
        <f t="shared" si="28"/>
        <v>8.3955970216664733E-2</v>
      </c>
      <c r="J68" s="27" t="str">
        <f t="shared" si="28"/>
        <v/>
      </c>
      <c r="K68" s="27" t="str">
        <f t="shared" si="28"/>
        <v/>
      </c>
      <c r="L68" s="27" t="str">
        <f t="shared" si="28"/>
        <v/>
      </c>
      <c r="M68" s="27" t="str">
        <f t="shared" si="28"/>
        <v/>
      </c>
      <c r="N68" s="27" t="str">
        <f t="shared" si="28"/>
        <v/>
      </c>
      <c r="O68" s="27" t="str">
        <f>IFERROR(-O56/O55,"")</f>
        <v/>
      </c>
      <c r="P68" s="27"/>
      <c r="Q68" s="27"/>
    </row>
    <row r="69" spans="2:17" x14ac:dyDescent="0.25">
      <c r="B69" s="8" t="s">
        <v>142</v>
      </c>
      <c r="C69" s="27">
        <f>-C57/C55</f>
        <v>4.816688859298713E-2</v>
      </c>
      <c r="D69" s="27">
        <f t="shared" ref="D69:O69" si="29">-D57/D55</f>
        <v>0.38870732565739857</v>
      </c>
      <c r="E69" s="27">
        <f t="shared" si="29"/>
        <v>3.6570448154796896E-2</v>
      </c>
      <c r="F69" s="27">
        <f t="shared" si="29"/>
        <v>0.17472831207990452</v>
      </c>
      <c r="G69" s="27">
        <f t="shared" si="29"/>
        <v>5.3261397154911697E-2</v>
      </c>
      <c r="H69" s="27">
        <f t="shared" si="29"/>
        <v>2.6222475156503087E-2</v>
      </c>
      <c r="I69" s="27">
        <f t="shared" si="29"/>
        <v>0</v>
      </c>
      <c r="J69" s="27" t="e">
        <f t="shared" si="29"/>
        <v>#DIV/0!</v>
      </c>
      <c r="K69" s="27" t="e">
        <f t="shared" si="29"/>
        <v>#DIV/0!</v>
      </c>
      <c r="L69" s="27" t="e">
        <f t="shared" si="29"/>
        <v>#DIV/0!</v>
      </c>
      <c r="M69" s="27" t="e">
        <f t="shared" si="29"/>
        <v>#DIV/0!</v>
      </c>
      <c r="N69" s="27" t="e">
        <f t="shared" si="29"/>
        <v>#DIV/0!</v>
      </c>
      <c r="O69" s="27" t="e">
        <f t="shared" si="29"/>
        <v>#DIV/0!</v>
      </c>
      <c r="P69" s="27"/>
      <c r="Q69" s="27"/>
    </row>
    <row r="70" spans="2:17" x14ac:dyDescent="0.25">
      <c r="B70" s="8" t="s">
        <v>143</v>
      </c>
      <c r="C70" s="28">
        <f>1-C69</f>
        <v>0.95183311140701288</v>
      </c>
      <c r="D70" s="28">
        <f t="shared" ref="D70:O71" si="30">1-D69</f>
        <v>0.61129267434260148</v>
      </c>
      <c r="E70" s="28">
        <f t="shared" si="30"/>
        <v>0.96342955184520307</v>
      </c>
      <c r="F70" s="28">
        <f t="shared" si="30"/>
        <v>0.82527168792009542</v>
      </c>
      <c r="G70" s="28">
        <f t="shared" si="30"/>
        <v>0.94673860284508826</v>
      </c>
      <c r="H70" s="28">
        <f t="shared" si="30"/>
        <v>0.97377752484349689</v>
      </c>
      <c r="I70" s="28">
        <f t="shared" si="30"/>
        <v>1</v>
      </c>
      <c r="J70" s="28" t="e">
        <f t="shared" si="30"/>
        <v>#DIV/0!</v>
      </c>
      <c r="K70" s="28" t="e">
        <f t="shared" si="30"/>
        <v>#DIV/0!</v>
      </c>
      <c r="L70" s="28" t="e">
        <f t="shared" si="30"/>
        <v>#DIV/0!</v>
      </c>
      <c r="M70" s="28" t="e">
        <f t="shared" si="30"/>
        <v>#DIV/0!</v>
      </c>
      <c r="N70" s="28" t="e">
        <f t="shared" si="30"/>
        <v>#DIV/0!</v>
      </c>
      <c r="O70" s="28" t="e">
        <f t="shared" si="30"/>
        <v>#DIV/0!</v>
      </c>
      <c r="P70" s="28"/>
      <c r="Q70" s="28"/>
    </row>
    <row r="71" spans="2:17" x14ac:dyDescent="0.25">
      <c r="B71" s="8" t="s">
        <v>144</v>
      </c>
      <c r="C71" s="28">
        <f>1-C70</f>
        <v>4.8166888592987123E-2</v>
      </c>
      <c r="D71" s="28">
        <f t="shared" si="30"/>
        <v>0.38870732565739852</v>
      </c>
      <c r="E71" s="28">
        <f t="shared" si="30"/>
        <v>3.6570448154796931E-2</v>
      </c>
      <c r="F71" s="28">
        <f t="shared" si="30"/>
        <v>0.17472831207990458</v>
      </c>
      <c r="G71" s="28">
        <f t="shared" si="30"/>
        <v>5.3261397154911738E-2</v>
      </c>
      <c r="H71" s="28">
        <f t="shared" si="30"/>
        <v>2.6222475156503111E-2</v>
      </c>
      <c r="I71" s="28">
        <f t="shared" si="30"/>
        <v>0</v>
      </c>
      <c r="J71" s="28" t="e">
        <f t="shared" si="30"/>
        <v>#DIV/0!</v>
      </c>
      <c r="K71" s="28" t="e">
        <f t="shared" si="30"/>
        <v>#DIV/0!</v>
      </c>
      <c r="L71" s="28" t="e">
        <f t="shared" si="30"/>
        <v>#DIV/0!</v>
      </c>
      <c r="M71" s="28" t="e">
        <f t="shared" si="30"/>
        <v>#DIV/0!</v>
      </c>
      <c r="N71" s="28" t="e">
        <f t="shared" si="30"/>
        <v>#DIV/0!</v>
      </c>
      <c r="O71" s="28" t="e">
        <f t="shared" si="30"/>
        <v>#DIV/0!</v>
      </c>
      <c r="P71" s="28"/>
      <c r="Q71" s="28"/>
    </row>
    <row r="72" spans="2:17" x14ac:dyDescent="0.25">
      <c r="B72" s="8" t="s">
        <v>145</v>
      </c>
      <c r="C72" s="11">
        <f>-C56/C70</f>
        <v>15569.956353055286</v>
      </c>
      <c r="D72" s="11">
        <f t="shared" ref="D72:O72" si="31">-D56/D70</f>
        <v>17613.494242474091</v>
      </c>
      <c r="E72" s="11">
        <f t="shared" si="31"/>
        <v>11662.502959848298</v>
      </c>
      <c r="F72" s="11">
        <f t="shared" si="31"/>
        <v>15901.430028544244</v>
      </c>
      <c r="G72" s="11">
        <f t="shared" si="31"/>
        <v>11798.399227022657</v>
      </c>
      <c r="H72" s="11">
        <f t="shared" si="31"/>
        <v>7337.4049181801838</v>
      </c>
      <c r="I72" s="11">
        <f t="shared" si="31"/>
        <v>6506</v>
      </c>
      <c r="J72" s="11" t="e">
        <f t="shared" si="31"/>
        <v>#DIV/0!</v>
      </c>
      <c r="K72" s="11" t="e">
        <f t="shared" si="31"/>
        <v>#DIV/0!</v>
      </c>
      <c r="L72" s="11" t="e">
        <f t="shared" si="31"/>
        <v>#DIV/0!</v>
      </c>
      <c r="M72" s="11" t="e">
        <f t="shared" si="31"/>
        <v>#DIV/0!</v>
      </c>
      <c r="N72" s="11" t="e">
        <f t="shared" si="31"/>
        <v>#DIV/0!</v>
      </c>
      <c r="O72" s="11" t="e">
        <f t="shared" si="31"/>
        <v>#DIV/0!</v>
      </c>
      <c r="P72" s="11"/>
      <c r="Q72" s="11"/>
    </row>
  </sheetData>
  <conditionalFormatting sqref="C68:O72">
    <cfRule type="containsErrors" dxfId="0" priority="1">
      <formula>ISERROR(C68)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B741-B102-439A-9BDE-C8080BFC399F}">
  <dimension ref="B2:U54"/>
  <sheetViews>
    <sheetView showGridLines="0" tabSelected="1" topLeftCell="A5" zoomScaleNormal="100" workbookViewId="0">
      <selection activeCell="S51" sqref="S51:U51"/>
    </sheetView>
  </sheetViews>
  <sheetFormatPr defaultRowHeight="15" x14ac:dyDescent="0.25"/>
  <cols>
    <col min="1" max="1" width="2.7109375" customWidth="1"/>
    <col min="10" max="10" width="10.5703125" bestFit="1" customWidth="1"/>
    <col min="11" max="12" width="2.7109375" customWidth="1"/>
  </cols>
  <sheetData>
    <row r="2" spans="2:21" ht="26.25" x14ac:dyDescent="0.4">
      <c r="B2" s="50" t="s">
        <v>183</v>
      </c>
      <c r="C2" s="49"/>
      <c r="D2" s="49"/>
      <c r="E2" s="49"/>
      <c r="F2" s="49"/>
      <c r="G2" s="49"/>
      <c r="H2" s="49"/>
      <c r="I2" s="93" t="str">
        <f ca="1">Premissas!C4</f>
        <v>2020</v>
      </c>
      <c r="J2" s="94"/>
    </row>
    <row r="3" spans="2:21" x14ac:dyDescent="0.25">
      <c r="B3" t="s">
        <v>184</v>
      </c>
      <c r="I3" s="95" t="s">
        <v>191</v>
      </c>
      <c r="J3" s="95"/>
    </row>
    <row r="6" spans="2:21" x14ac:dyDescent="0.25">
      <c r="B6" s="51" t="s">
        <v>185</v>
      </c>
      <c r="C6" s="51"/>
      <c r="D6" s="51"/>
      <c r="E6" s="51"/>
      <c r="F6" s="51"/>
      <c r="G6" s="51"/>
      <c r="H6" s="51"/>
      <c r="I6" s="51"/>
      <c r="J6" s="51"/>
      <c r="M6" s="51" t="str">
        <f>Fluxo_Diário_DB!J21</f>
        <v>Margem de Contribuição</v>
      </c>
      <c r="N6" s="51"/>
      <c r="O6" s="51"/>
      <c r="P6" s="51"/>
      <c r="Q6" s="51"/>
      <c r="R6" s="51"/>
      <c r="S6" s="51"/>
      <c r="T6" s="51"/>
      <c r="U6" s="51"/>
    </row>
    <row r="7" spans="2:21" x14ac:dyDescent="0.25">
      <c r="B7" s="52"/>
      <c r="C7" s="51"/>
      <c r="D7" s="51"/>
      <c r="E7" s="51"/>
      <c r="F7" s="51"/>
      <c r="G7" s="58" t="s">
        <v>181</v>
      </c>
      <c r="H7" s="87" t="s">
        <v>186</v>
      </c>
      <c r="I7" s="88"/>
      <c r="J7" s="89"/>
      <c r="M7" s="52"/>
      <c r="N7" s="51"/>
      <c r="O7" s="51"/>
      <c r="P7" s="51"/>
      <c r="Q7" s="51"/>
      <c r="R7" s="58"/>
      <c r="S7" s="87" t="s">
        <v>186</v>
      </c>
      <c r="T7" s="88"/>
      <c r="U7" s="89"/>
    </row>
    <row r="8" spans="2:21" x14ac:dyDescent="0.25">
      <c r="B8" s="53"/>
      <c r="C8" s="54"/>
      <c r="D8" s="54"/>
      <c r="E8" s="54"/>
      <c r="F8" s="54"/>
      <c r="G8" s="54"/>
      <c r="H8" s="74" t="s">
        <v>202</v>
      </c>
      <c r="I8" s="75"/>
      <c r="J8" s="76"/>
      <c r="M8" s="53"/>
      <c r="N8" s="54"/>
      <c r="O8" s="54"/>
      <c r="P8" s="54"/>
      <c r="Q8" s="54"/>
      <c r="R8" s="54"/>
      <c r="S8" s="74" t="s">
        <v>199</v>
      </c>
      <c r="T8" s="75"/>
      <c r="U8" s="76"/>
    </row>
    <row r="9" spans="2:21" x14ac:dyDescent="0.25">
      <c r="B9" s="53"/>
      <c r="C9" s="54"/>
      <c r="D9" s="54"/>
      <c r="E9" s="54"/>
      <c r="F9" s="54"/>
      <c r="G9" s="54"/>
      <c r="H9" s="74"/>
      <c r="I9" s="75"/>
      <c r="J9" s="76"/>
      <c r="M9" s="53"/>
      <c r="N9" s="54"/>
      <c r="O9" s="54"/>
      <c r="P9" s="54"/>
      <c r="Q9" s="54"/>
      <c r="R9" s="54"/>
      <c r="S9" s="74"/>
      <c r="T9" s="75"/>
      <c r="U9" s="76"/>
    </row>
    <row r="10" spans="2:21" x14ac:dyDescent="0.25">
      <c r="B10" s="53"/>
      <c r="C10" s="54"/>
      <c r="D10" s="54"/>
      <c r="E10" s="54"/>
      <c r="F10" s="54"/>
      <c r="G10" s="54"/>
      <c r="H10" s="74"/>
      <c r="I10" s="75"/>
      <c r="J10" s="76"/>
      <c r="M10" s="53"/>
      <c r="N10" s="54"/>
      <c r="O10" s="54"/>
      <c r="P10" s="54"/>
      <c r="Q10" s="54"/>
      <c r="R10" s="54"/>
      <c r="S10" s="74"/>
      <c r="T10" s="75"/>
      <c r="U10" s="76"/>
    </row>
    <row r="11" spans="2:21" x14ac:dyDescent="0.25">
      <c r="B11" s="53"/>
      <c r="C11" s="54"/>
      <c r="D11" s="54"/>
      <c r="E11" s="54"/>
      <c r="F11" s="54"/>
      <c r="G11" s="54"/>
      <c r="H11" s="74"/>
      <c r="I11" s="75"/>
      <c r="J11" s="76"/>
      <c r="M11" s="53"/>
      <c r="N11" s="54"/>
      <c r="O11" s="54"/>
      <c r="P11" s="54"/>
      <c r="Q11" s="54"/>
      <c r="R11" s="54"/>
      <c r="S11" s="74"/>
      <c r="T11" s="75"/>
      <c r="U11" s="76"/>
    </row>
    <row r="12" spans="2:21" x14ac:dyDescent="0.25">
      <c r="B12" s="53"/>
      <c r="C12" s="54"/>
      <c r="D12" s="54"/>
      <c r="E12" s="54"/>
      <c r="F12" s="54"/>
      <c r="G12" s="54"/>
      <c r="H12" s="77"/>
      <c r="I12" s="78"/>
      <c r="J12" s="79"/>
      <c r="M12" s="53"/>
      <c r="N12" s="54"/>
      <c r="O12" s="54"/>
      <c r="P12" s="54"/>
      <c r="Q12" s="54"/>
      <c r="R12" s="54"/>
      <c r="S12" s="77"/>
      <c r="T12" s="78"/>
      <c r="U12" s="79"/>
    </row>
    <row r="13" spans="2:21" x14ac:dyDescent="0.25">
      <c r="B13" s="53"/>
      <c r="C13" s="54"/>
      <c r="D13" s="54"/>
      <c r="E13" s="54"/>
      <c r="F13" s="54"/>
      <c r="G13" s="54"/>
      <c r="H13" s="87" t="s">
        <v>187</v>
      </c>
      <c r="I13" s="88"/>
      <c r="J13" s="89"/>
      <c r="M13" s="53"/>
      <c r="N13" s="54"/>
      <c r="O13" s="54"/>
      <c r="P13" s="54"/>
      <c r="Q13" s="54"/>
      <c r="R13" s="54"/>
      <c r="S13" s="87" t="s">
        <v>187</v>
      </c>
      <c r="T13" s="88"/>
      <c r="U13" s="89"/>
    </row>
    <row r="14" spans="2:21" x14ac:dyDescent="0.25">
      <c r="B14" s="53"/>
      <c r="C14" s="54"/>
      <c r="D14" s="54"/>
      <c r="E14" s="54"/>
      <c r="F14" s="54"/>
      <c r="G14" s="54"/>
      <c r="H14" s="74" t="s">
        <v>193</v>
      </c>
      <c r="I14" s="75"/>
      <c r="J14" s="76"/>
      <c r="M14" s="53"/>
      <c r="N14" s="54"/>
      <c r="O14" s="54"/>
      <c r="P14" s="54"/>
      <c r="Q14" s="54"/>
      <c r="R14" s="54"/>
      <c r="S14" s="74" t="s">
        <v>200</v>
      </c>
      <c r="T14" s="75"/>
      <c r="U14" s="76"/>
    </row>
    <row r="15" spans="2:21" x14ac:dyDescent="0.25">
      <c r="B15" s="53"/>
      <c r="C15" s="54"/>
      <c r="D15" s="54"/>
      <c r="E15" s="54"/>
      <c r="F15" s="54"/>
      <c r="G15" s="54"/>
      <c r="H15" s="74"/>
      <c r="I15" s="75"/>
      <c r="J15" s="76"/>
      <c r="M15" s="53"/>
      <c r="N15" s="54"/>
      <c r="O15" s="54"/>
      <c r="P15" s="54"/>
      <c r="Q15" s="54"/>
      <c r="R15" s="54"/>
      <c r="S15" s="74"/>
      <c r="T15" s="75"/>
      <c r="U15" s="76"/>
    </row>
    <row r="16" spans="2:21" x14ac:dyDescent="0.25">
      <c r="B16" s="53"/>
      <c r="C16" s="54"/>
      <c r="D16" s="54"/>
      <c r="E16" s="54"/>
      <c r="F16" s="54"/>
      <c r="G16" s="54"/>
      <c r="H16" s="74"/>
      <c r="I16" s="75"/>
      <c r="J16" s="76"/>
      <c r="M16" s="53"/>
      <c r="N16" s="54"/>
      <c r="O16" s="54"/>
      <c r="P16" s="54"/>
      <c r="Q16" s="54"/>
      <c r="R16" s="54"/>
      <c r="S16" s="74"/>
      <c r="T16" s="75"/>
      <c r="U16" s="76"/>
    </row>
    <row r="17" spans="2:21" x14ac:dyDescent="0.25">
      <c r="B17" s="53"/>
      <c r="C17" s="54"/>
      <c r="D17" s="54"/>
      <c r="E17" s="54"/>
      <c r="F17" s="54"/>
      <c r="G17" s="54"/>
      <c r="H17" s="74"/>
      <c r="I17" s="75"/>
      <c r="J17" s="76"/>
      <c r="M17" s="53"/>
      <c r="N17" s="54"/>
      <c r="O17" s="54"/>
      <c r="P17" s="54"/>
      <c r="Q17" s="54"/>
      <c r="R17" s="54"/>
      <c r="S17" s="74"/>
      <c r="T17" s="75"/>
      <c r="U17" s="76"/>
    </row>
    <row r="18" spans="2:21" x14ac:dyDescent="0.25">
      <c r="B18" s="53"/>
      <c r="C18" s="54"/>
      <c r="D18" s="54"/>
      <c r="E18" s="54"/>
      <c r="F18" s="54"/>
      <c r="G18" s="54"/>
      <c r="H18" s="77"/>
      <c r="I18" s="78"/>
      <c r="J18" s="79"/>
      <c r="M18" s="53"/>
      <c r="N18" s="54"/>
      <c r="O18" s="54"/>
      <c r="P18" s="54"/>
      <c r="Q18" s="54"/>
      <c r="R18" s="54"/>
      <c r="S18" s="77"/>
      <c r="T18" s="78"/>
      <c r="U18" s="79"/>
    </row>
    <row r="19" spans="2:21" x14ac:dyDescent="0.25">
      <c r="B19" s="53"/>
      <c r="C19" s="54"/>
      <c r="D19" s="54"/>
      <c r="E19" s="54"/>
      <c r="F19" s="54"/>
      <c r="G19" s="54"/>
      <c r="H19" s="87" t="s">
        <v>192</v>
      </c>
      <c r="I19" s="88"/>
      <c r="J19" s="89"/>
      <c r="M19" s="53"/>
      <c r="N19" s="54"/>
      <c r="O19" s="54"/>
      <c r="P19" s="54"/>
      <c r="Q19" s="54"/>
      <c r="R19" s="54"/>
      <c r="S19" s="87" t="s">
        <v>192</v>
      </c>
      <c r="T19" s="88"/>
      <c r="U19" s="89"/>
    </row>
    <row r="20" spans="2:21" x14ac:dyDescent="0.25">
      <c r="B20" s="53"/>
      <c r="C20" s="54"/>
      <c r="D20" s="54"/>
      <c r="E20" s="54"/>
      <c r="F20" s="54"/>
      <c r="G20" s="54"/>
      <c r="H20" s="86" t="s">
        <v>188</v>
      </c>
      <c r="I20" s="86"/>
      <c r="J20" s="59">
        <f>MAX(Fluxo_Diário_DB!L4:W4)</f>
        <v>335.60249999999996</v>
      </c>
      <c r="M20" s="53"/>
      <c r="N20" s="54"/>
      <c r="O20" s="54"/>
      <c r="P20" s="54"/>
      <c r="Q20" s="54"/>
      <c r="R20" s="54"/>
      <c r="S20" s="86" t="s">
        <v>188</v>
      </c>
      <c r="T20" s="86"/>
      <c r="U20" s="60">
        <f>AVERAGE(Fluxo_Diário_DB!L21:W21)</f>
        <v>0.79455163867477585</v>
      </c>
    </row>
    <row r="21" spans="2:21" x14ac:dyDescent="0.25">
      <c r="B21" s="53"/>
      <c r="C21" s="54"/>
      <c r="D21" s="54"/>
      <c r="E21" s="54"/>
      <c r="F21" s="54"/>
      <c r="G21" s="54"/>
      <c r="H21" s="86" t="s">
        <v>189</v>
      </c>
      <c r="I21" s="86"/>
      <c r="J21" s="59">
        <f>MAX(Fluxo_Diário_DB!L6:W6)</f>
        <v>393.43</v>
      </c>
      <c r="M21" s="53"/>
      <c r="N21" s="54"/>
      <c r="O21" s="54"/>
      <c r="P21" s="54"/>
      <c r="Q21" s="54"/>
      <c r="R21" s="54"/>
      <c r="S21" s="86" t="s">
        <v>189</v>
      </c>
      <c r="T21" s="86"/>
      <c r="U21" s="60">
        <f>AVERAGE(Fluxo_Diário_DB!L23:W23)</f>
        <v>0.89604902188621405</v>
      </c>
    </row>
    <row r="22" spans="2:21" x14ac:dyDescent="0.25">
      <c r="B22" s="55"/>
      <c r="C22" s="56"/>
      <c r="D22" s="56"/>
      <c r="E22" s="56"/>
      <c r="F22" s="56"/>
      <c r="G22" s="56"/>
      <c r="H22" s="86" t="s">
        <v>190</v>
      </c>
      <c r="I22" s="86"/>
      <c r="J22" s="60">
        <f>J21/J20</f>
        <v>1.1723095030579334</v>
      </c>
      <c r="M22" s="55"/>
      <c r="N22" s="56"/>
      <c r="O22" s="56"/>
      <c r="P22" s="56"/>
      <c r="Q22" s="56"/>
      <c r="R22" s="56"/>
      <c r="S22" s="86" t="s">
        <v>190</v>
      </c>
      <c r="T22" s="86"/>
      <c r="U22" s="60">
        <f>U21/U20</f>
        <v>1.1277417077393794</v>
      </c>
    </row>
    <row r="23" spans="2:21" x14ac:dyDescent="0.25">
      <c r="B23" s="52"/>
      <c r="C23" s="51"/>
      <c r="D23" s="51"/>
      <c r="E23" s="51"/>
      <c r="F23" s="51"/>
      <c r="G23" s="58" t="s">
        <v>181</v>
      </c>
      <c r="H23" s="87" t="s">
        <v>186</v>
      </c>
      <c r="I23" s="88"/>
      <c r="J23" s="89"/>
      <c r="M23" s="51" t="str">
        <f>Fluxo_Diário_DB!J26</f>
        <v>Margem de Lucro</v>
      </c>
      <c r="N23" s="51"/>
      <c r="O23" s="51"/>
      <c r="P23" s="51"/>
      <c r="Q23" s="51"/>
      <c r="R23" s="51"/>
      <c r="S23" s="51"/>
      <c r="T23" s="51"/>
      <c r="U23" s="51"/>
    </row>
    <row r="24" spans="2:21" x14ac:dyDescent="0.25">
      <c r="B24" s="53"/>
      <c r="C24" s="54"/>
      <c r="D24" s="54"/>
      <c r="E24" s="54"/>
      <c r="F24" s="54"/>
      <c r="G24" s="54"/>
      <c r="H24" s="74" t="s">
        <v>195</v>
      </c>
      <c r="I24" s="75"/>
      <c r="J24" s="76"/>
      <c r="M24" s="52"/>
      <c r="N24" s="51"/>
      <c r="O24" s="51"/>
      <c r="P24" s="51"/>
      <c r="Q24" s="51"/>
      <c r="R24" s="58"/>
      <c r="S24" s="87" t="s">
        <v>186</v>
      </c>
      <c r="T24" s="88"/>
      <c r="U24" s="89"/>
    </row>
    <row r="25" spans="2:21" x14ac:dyDescent="0.25">
      <c r="B25" s="53"/>
      <c r="C25" s="54"/>
      <c r="D25" s="54"/>
      <c r="E25" s="54"/>
      <c r="F25" s="54"/>
      <c r="G25" s="54"/>
      <c r="H25" s="74"/>
      <c r="I25" s="75"/>
      <c r="J25" s="76"/>
      <c r="M25" s="53"/>
      <c r="N25" s="54"/>
      <c r="O25" s="54"/>
      <c r="P25" s="54"/>
      <c r="Q25" s="54"/>
      <c r="R25" s="54"/>
      <c r="S25" s="74" t="s">
        <v>198</v>
      </c>
      <c r="T25" s="75"/>
      <c r="U25" s="76"/>
    </row>
    <row r="26" spans="2:21" x14ac:dyDescent="0.25">
      <c r="B26" s="53"/>
      <c r="C26" s="54"/>
      <c r="D26" s="54"/>
      <c r="E26" s="54"/>
      <c r="F26" s="54"/>
      <c r="G26" s="54"/>
      <c r="H26" s="74"/>
      <c r="I26" s="75"/>
      <c r="J26" s="76"/>
      <c r="M26" s="53"/>
      <c r="N26" s="54"/>
      <c r="O26" s="54"/>
      <c r="P26" s="54"/>
      <c r="Q26" s="54"/>
      <c r="R26" s="54"/>
      <c r="S26" s="74"/>
      <c r="T26" s="75"/>
      <c r="U26" s="76"/>
    </row>
    <row r="27" spans="2:21" x14ac:dyDescent="0.25">
      <c r="B27" s="53"/>
      <c r="C27" s="54"/>
      <c r="D27" s="54"/>
      <c r="E27" s="54"/>
      <c r="F27" s="54"/>
      <c r="G27" s="54"/>
      <c r="H27" s="74"/>
      <c r="I27" s="75"/>
      <c r="J27" s="76"/>
      <c r="M27" s="53"/>
      <c r="N27" s="54"/>
      <c r="O27" s="54"/>
      <c r="P27" s="54"/>
      <c r="Q27" s="54"/>
      <c r="R27" s="54"/>
      <c r="S27" s="74"/>
      <c r="T27" s="75"/>
      <c r="U27" s="76"/>
    </row>
    <row r="28" spans="2:21" x14ac:dyDescent="0.25">
      <c r="B28" s="53"/>
      <c r="C28" s="54"/>
      <c r="D28" s="54"/>
      <c r="E28" s="54"/>
      <c r="F28" s="54"/>
      <c r="G28" s="54"/>
      <c r="H28" s="77"/>
      <c r="I28" s="78"/>
      <c r="J28" s="79"/>
      <c r="M28" s="53"/>
      <c r="N28" s="54"/>
      <c r="O28" s="54"/>
      <c r="P28" s="54"/>
      <c r="Q28" s="54"/>
      <c r="R28" s="54"/>
      <c r="S28" s="74"/>
      <c r="T28" s="75"/>
      <c r="U28" s="76"/>
    </row>
    <row r="29" spans="2:21" x14ac:dyDescent="0.25">
      <c r="B29" s="53"/>
      <c r="C29" s="54"/>
      <c r="D29" s="54"/>
      <c r="E29" s="54"/>
      <c r="F29" s="54"/>
      <c r="G29" s="54"/>
      <c r="H29" s="87" t="s">
        <v>187</v>
      </c>
      <c r="I29" s="88"/>
      <c r="J29" s="89"/>
      <c r="M29" s="53"/>
      <c r="N29" s="54"/>
      <c r="O29" s="54"/>
      <c r="P29" s="54"/>
      <c r="Q29" s="54"/>
      <c r="R29" s="54"/>
      <c r="S29" s="77"/>
      <c r="T29" s="78"/>
      <c r="U29" s="79"/>
    </row>
    <row r="30" spans="2:21" x14ac:dyDescent="0.25">
      <c r="B30" s="53"/>
      <c r="C30" s="54"/>
      <c r="D30" s="54"/>
      <c r="E30" s="54"/>
      <c r="F30" s="54"/>
      <c r="G30" s="54"/>
      <c r="H30" s="74" t="s">
        <v>196</v>
      </c>
      <c r="I30" s="75"/>
      <c r="J30" s="76"/>
      <c r="M30" s="53"/>
      <c r="N30" s="54"/>
      <c r="O30" s="54"/>
      <c r="P30" s="54"/>
      <c r="Q30" s="54"/>
      <c r="R30" s="54"/>
      <c r="S30" s="87" t="s">
        <v>187</v>
      </c>
      <c r="T30" s="88"/>
      <c r="U30" s="89"/>
    </row>
    <row r="31" spans="2:21" x14ac:dyDescent="0.25">
      <c r="B31" s="53"/>
      <c r="C31" s="54"/>
      <c r="D31" s="54"/>
      <c r="E31" s="54"/>
      <c r="F31" s="54"/>
      <c r="G31" s="54"/>
      <c r="H31" s="74"/>
      <c r="I31" s="75"/>
      <c r="J31" s="76"/>
      <c r="M31" s="53"/>
      <c r="N31" s="54"/>
      <c r="O31" s="54"/>
      <c r="P31" s="54"/>
      <c r="Q31" s="54"/>
      <c r="R31" s="54"/>
      <c r="S31" s="74" t="s">
        <v>201</v>
      </c>
      <c r="T31" s="75"/>
      <c r="U31" s="76"/>
    </row>
    <row r="32" spans="2:21" x14ac:dyDescent="0.25">
      <c r="B32" s="53"/>
      <c r="C32" s="54"/>
      <c r="D32" s="54"/>
      <c r="E32" s="54"/>
      <c r="F32" s="54"/>
      <c r="G32" s="54"/>
      <c r="H32" s="74"/>
      <c r="I32" s="75"/>
      <c r="J32" s="76"/>
      <c r="M32" s="53"/>
      <c r="N32" s="54"/>
      <c r="O32" s="54"/>
      <c r="P32" s="54"/>
      <c r="Q32" s="54"/>
      <c r="R32" s="54"/>
      <c r="S32" s="74"/>
      <c r="T32" s="75"/>
      <c r="U32" s="76"/>
    </row>
    <row r="33" spans="2:21" x14ac:dyDescent="0.25">
      <c r="B33" s="53"/>
      <c r="C33" s="54"/>
      <c r="D33" s="54"/>
      <c r="E33" s="54"/>
      <c r="F33" s="54"/>
      <c r="G33" s="54"/>
      <c r="H33" s="74"/>
      <c r="I33" s="75"/>
      <c r="J33" s="76"/>
      <c r="M33" s="53"/>
      <c r="N33" s="54"/>
      <c r="O33" s="54"/>
      <c r="P33" s="54"/>
      <c r="Q33" s="54"/>
      <c r="R33" s="54"/>
      <c r="S33" s="74"/>
      <c r="T33" s="75"/>
      <c r="U33" s="76"/>
    </row>
    <row r="34" spans="2:21" x14ac:dyDescent="0.25">
      <c r="B34" s="53"/>
      <c r="C34" s="54"/>
      <c r="D34" s="54"/>
      <c r="E34" s="54"/>
      <c r="F34" s="54"/>
      <c r="G34" s="54"/>
      <c r="H34" s="77"/>
      <c r="I34" s="78"/>
      <c r="J34" s="79"/>
      <c r="M34" s="53"/>
      <c r="N34" s="54"/>
      <c r="O34" s="54"/>
      <c r="P34" s="54"/>
      <c r="Q34" s="54"/>
      <c r="R34" s="54"/>
      <c r="S34" s="77"/>
      <c r="T34" s="78"/>
      <c r="U34" s="79"/>
    </row>
    <row r="35" spans="2:21" x14ac:dyDescent="0.25">
      <c r="B35" s="53"/>
      <c r="C35" s="54"/>
      <c r="D35" s="54"/>
      <c r="E35" s="54"/>
      <c r="F35" s="54"/>
      <c r="G35" s="54"/>
      <c r="H35" s="87" t="s">
        <v>192</v>
      </c>
      <c r="I35" s="88"/>
      <c r="J35" s="89"/>
      <c r="M35" s="53"/>
      <c r="N35" s="54"/>
      <c r="O35" s="54"/>
      <c r="P35" s="54"/>
      <c r="Q35" s="54"/>
      <c r="R35" s="54"/>
      <c r="S35" s="90" t="s">
        <v>192</v>
      </c>
      <c r="T35" s="91"/>
      <c r="U35" s="92"/>
    </row>
    <row r="36" spans="2:21" x14ac:dyDescent="0.25">
      <c r="B36" s="53"/>
      <c r="C36" s="54"/>
      <c r="D36" s="54"/>
      <c r="E36" s="54"/>
      <c r="F36" s="54"/>
      <c r="G36" s="54"/>
      <c r="H36" s="86" t="s">
        <v>188</v>
      </c>
      <c r="I36" s="86"/>
      <c r="J36" s="59">
        <f>MAX(Fluxo_Diário_DB!L10:W10)</f>
        <v>134.28</v>
      </c>
      <c r="M36" s="53"/>
      <c r="N36" s="54"/>
      <c r="O36" s="54"/>
      <c r="P36" s="54"/>
      <c r="Q36" s="54"/>
      <c r="R36" s="54"/>
      <c r="S36" s="86" t="s">
        <v>188</v>
      </c>
      <c r="T36" s="86"/>
      <c r="U36" s="60">
        <f>AVERAGE(Fluxo_Diário_DB!L26:W26)</f>
        <v>0.20544836132522418</v>
      </c>
    </row>
    <row r="37" spans="2:21" x14ac:dyDescent="0.25">
      <c r="B37" s="53"/>
      <c r="C37" s="54"/>
      <c r="D37" s="54"/>
      <c r="E37" s="54"/>
      <c r="F37" s="54"/>
      <c r="G37" s="54"/>
      <c r="H37" s="86" t="s">
        <v>189</v>
      </c>
      <c r="I37" s="86"/>
      <c r="J37" s="59">
        <f>MAX(Fluxo_Diário_DB!L12:W12)</f>
        <v>76.122</v>
      </c>
      <c r="M37" s="53"/>
      <c r="N37" s="54"/>
      <c r="O37" s="54"/>
      <c r="P37" s="54"/>
      <c r="Q37" s="54"/>
      <c r="R37" s="54"/>
      <c r="S37" s="86" t="s">
        <v>189</v>
      </c>
      <c r="T37" s="86"/>
      <c r="U37" s="60">
        <f>AVERAGE(Fluxo_Diário_DB!L28:W28)</f>
        <v>0.10395097811378599</v>
      </c>
    </row>
    <row r="38" spans="2:21" x14ac:dyDescent="0.25">
      <c r="B38" s="55"/>
      <c r="C38" s="56"/>
      <c r="D38" s="56"/>
      <c r="E38" s="56"/>
      <c r="F38" s="56"/>
      <c r="G38" s="56"/>
      <c r="H38" s="86" t="s">
        <v>190</v>
      </c>
      <c r="I38" s="86"/>
      <c r="J38" s="60">
        <f>J37/J36</f>
        <v>0.56689008042895439</v>
      </c>
      <c r="M38" s="55"/>
      <c r="N38" s="56"/>
      <c r="O38" s="56"/>
      <c r="P38" s="56"/>
      <c r="Q38" s="56"/>
      <c r="R38" s="56"/>
      <c r="S38" s="86" t="s">
        <v>190</v>
      </c>
      <c r="T38" s="86"/>
      <c r="U38" s="60">
        <f>U37/U36</f>
        <v>0.50597131777182636</v>
      </c>
    </row>
    <row r="39" spans="2:21" x14ac:dyDescent="0.25">
      <c r="B39" s="52"/>
      <c r="C39" s="51"/>
      <c r="D39" s="51"/>
      <c r="E39" s="51"/>
      <c r="F39" s="51"/>
      <c r="G39" s="58" t="s">
        <v>181</v>
      </c>
      <c r="H39" s="87" t="s">
        <v>186</v>
      </c>
      <c r="I39" s="88"/>
      <c r="J39" s="89"/>
      <c r="M39" s="51" t="str">
        <f>Fluxo_Diário_DB!J31</f>
        <v>Ponto de Equilíbrio</v>
      </c>
      <c r="N39" s="51"/>
      <c r="O39" s="51"/>
      <c r="P39" s="51"/>
      <c r="Q39" s="51"/>
      <c r="R39" s="51"/>
      <c r="S39" s="51"/>
      <c r="T39" s="51"/>
      <c r="U39" s="51"/>
    </row>
    <row r="40" spans="2:21" x14ac:dyDescent="0.25">
      <c r="B40" s="53"/>
      <c r="C40" s="54"/>
      <c r="D40" s="54"/>
      <c r="E40" s="54"/>
      <c r="F40" s="54"/>
      <c r="G40" s="54"/>
      <c r="H40" s="74" t="s">
        <v>194</v>
      </c>
      <c r="I40" s="75"/>
      <c r="J40" s="76"/>
      <c r="M40" s="52"/>
      <c r="N40" s="51"/>
      <c r="O40" s="51"/>
      <c r="P40" s="51"/>
      <c r="Q40" s="51"/>
      <c r="R40" s="58" t="s">
        <v>181</v>
      </c>
      <c r="S40" s="87" t="s">
        <v>186</v>
      </c>
      <c r="T40" s="88"/>
      <c r="U40" s="89"/>
    </row>
    <row r="41" spans="2:21" x14ac:dyDescent="0.25">
      <c r="B41" s="53"/>
      <c r="C41" s="54"/>
      <c r="D41" s="54"/>
      <c r="E41" s="54"/>
      <c r="F41" s="54"/>
      <c r="G41" s="54"/>
      <c r="H41" s="74"/>
      <c r="I41" s="75"/>
      <c r="J41" s="76"/>
      <c r="M41" s="53"/>
      <c r="N41" s="54"/>
      <c r="O41" s="54"/>
      <c r="P41" s="54"/>
      <c r="Q41" s="54"/>
      <c r="R41" s="54"/>
      <c r="S41" s="74" t="s">
        <v>203</v>
      </c>
      <c r="T41" s="75"/>
      <c r="U41" s="76"/>
    </row>
    <row r="42" spans="2:21" x14ac:dyDescent="0.25">
      <c r="B42" s="53"/>
      <c r="C42" s="54"/>
      <c r="D42" s="54"/>
      <c r="E42" s="54"/>
      <c r="F42" s="54"/>
      <c r="G42" s="54"/>
      <c r="H42" s="74"/>
      <c r="I42" s="75"/>
      <c r="J42" s="76"/>
      <c r="M42" s="53"/>
      <c r="N42" s="54"/>
      <c r="O42" s="54"/>
      <c r="P42" s="54"/>
      <c r="Q42" s="54"/>
      <c r="R42" s="54"/>
      <c r="S42" s="74"/>
      <c r="T42" s="75"/>
      <c r="U42" s="76"/>
    </row>
    <row r="43" spans="2:21" x14ac:dyDescent="0.25">
      <c r="B43" s="53"/>
      <c r="C43" s="54"/>
      <c r="D43" s="54"/>
      <c r="E43" s="54"/>
      <c r="F43" s="54"/>
      <c r="G43" s="54"/>
      <c r="H43" s="74"/>
      <c r="I43" s="75"/>
      <c r="J43" s="76"/>
      <c r="M43" s="53"/>
      <c r="N43" s="54"/>
      <c r="O43" s="54"/>
      <c r="P43" s="54"/>
      <c r="Q43" s="54"/>
      <c r="R43" s="54"/>
      <c r="S43" s="74"/>
      <c r="T43" s="75"/>
      <c r="U43" s="76"/>
    </row>
    <row r="44" spans="2:21" x14ac:dyDescent="0.25">
      <c r="B44" s="53"/>
      <c r="C44" s="54"/>
      <c r="D44" s="54"/>
      <c r="E44" s="54"/>
      <c r="F44" s="54"/>
      <c r="G44" s="54"/>
      <c r="H44" s="77"/>
      <c r="I44" s="78"/>
      <c r="J44" s="79"/>
      <c r="M44" s="53"/>
      <c r="N44" s="54"/>
      <c r="O44" s="54"/>
      <c r="P44" s="54"/>
      <c r="Q44" s="54"/>
      <c r="R44" s="54"/>
      <c r="S44" s="74"/>
      <c r="T44" s="75"/>
      <c r="U44" s="76"/>
    </row>
    <row r="45" spans="2:21" x14ac:dyDescent="0.25">
      <c r="B45" s="53"/>
      <c r="C45" s="54"/>
      <c r="D45" s="54"/>
      <c r="E45" s="54"/>
      <c r="F45" s="54"/>
      <c r="G45" s="54"/>
      <c r="H45" s="87" t="s">
        <v>187</v>
      </c>
      <c r="I45" s="88"/>
      <c r="J45" s="89"/>
      <c r="M45" s="53"/>
      <c r="N45" s="54"/>
      <c r="O45" s="54"/>
      <c r="P45" s="54"/>
      <c r="Q45" s="54"/>
      <c r="R45" s="54"/>
      <c r="S45" s="77"/>
      <c r="T45" s="78"/>
      <c r="U45" s="79"/>
    </row>
    <row r="46" spans="2:21" x14ac:dyDescent="0.25">
      <c r="B46" s="53"/>
      <c r="C46" s="54"/>
      <c r="D46" s="54"/>
      <c r="E46" s="54"/>
      <c r="F46" s="54"/>
      <c r="G46" s="54"/>
      <c r="H46" s="74" t="s">
        <v>197</v>
      </c>
      <c r="I46" s="75"/>
      <c r="J46" s="76"/>
      <c r="M46" s="53"/>
      <c r="N46" s="54"/>
      <c r="O46" s="54"/>
      <c r="P46" s="54"/>
      <c r="Q46" s="54"/>
      <c r="R46" s="54"/>
      <c r="S46" s="87" t="s">
        <v>187</v>
      </c>
      <c r="T46" s="88"/>
      <c r="U46" s="89"/>
    </row>
    <row r="47" spans="2:21" x14ac:dyDescent="0.25">
      <c r="B47" s="53"/>
      <c r="C47" s="54"/>
      <c r="D47" s="54"/>
      <c r="E47" s="54"/>
      <c r="F47" s="54"/>
      <c r="G47" s="54"/>
      <c r="H47" s="74"/>
      <c r="I47" s="75"/>
      <c r="J47" s="76"/>
      <c r="M47" s="53"/>
      <c r="N47" s="54"/>
      <c r="O47" s="54"/>
      <c r="P47" s="54"/>
      <c r="Q47" s="54"/>
      <c r="R47" s="54"/>
      <c r="S47" s="80" t="s">
        <v>204</v>
      </c>
      <c r="T47" s="81"/>
      <c r="U47" s="82"/>
    </row>
    <row r="48" spans="2:21" x14ac:dyDescent="0.25">
      <c r="B48" s="53"/>
      <c r="C48" s="54"/>
      <c r="D48" s="54"/>
      <c r="E48" s="54"/>
      <c r="F48" s="54"/>
      <c r="G48" s="54"/>
      <c r="H48" s="74"/>
      <c r="I48" s="75"/>
      <c r="J48" s="76"/>
      <c r="M48" s="53"/>
      <c r="N48" s="54"/>
      <c r="O48" s="54"/>
      <c r="P48" s="54"/>
      <c r="Q48" s="54"/>
      <c r="R48" s="54"/>
      <c r="S48" s="80"/>
      <c r="T48" s="81"/>
      <c r="U48" s="82"/>
    </row>
    <row r="49" spans="2:21" x14ac:dyDescent="0.25">
      <c r="B49" s="53"/>
      <c r="C49" s="54"/>
      <c r="D49" s="54"/>
      <c r="E49" s="54"/>
      <c r="F49" s="54"/>
      <c r="G49" s="54"/>
      <c r="H49" s="74"/>
      <c r="I49" s="75"/>
      <c r="J49" s="76"/>
      <c r="M49" s="53"/>
      <c r="N49" s="54"/>
      <c r="O49" s="54"/>
      <c r="P49" s="54"/>
      <c r="Q49" s="54"/>
      <c r="R49" s="54"/>
      <c r="S49" s="80"/>
      <c r="T49" s="81"/>
      <c r="U49" s="82"/>
    </row>
    <row r="50" spans="2:21" x14ac:dyDescent="0.25">
      <c r="B50" s="53"/>
      <c r="C50" s="54"/>
      <c r="D50" s="54"/>
      <c r="E50" s="54"/>
      <c r="F50" s="54"/>
      <c r="G50" s="54"/>
      <c r="H50" s="77"/>
      <c r="I50" s="78"/>
      <c r="J50" s="79"/>
      <c r="M50" s="53"/>
      <c r="N50" s="54"/>
      <c r="O50" s="54"/>
      <c r="P50" s="54"/>
      <c r="Q50" s="54"/>
      <c r="R50" s="54"/>
      <c r="S50" s="83"/>
      <c r="T50" s="84"/>
      <c r="U50" s="85"/>
    </row>
    <row r="51" spans="2:21" x14ac:dyDescent="0.25">
      <c r="B51" s="53"/>
      <c r="C51" s="54"/>
      <c r="D51" s="54"/>
      <c r="E51" s="54"/>
      <c r="F51" s="54"/>
      <c r="G51" s="54"/>
      <c r="H51" s="87" t="s">
        <v>192</v>
      </c>
      <c r="I51" s="88"/>
      <c r="J51" s="89"/>
      <c r="M51" s="53"/>
      <c r="N51" s="54"/>
      <c r="O51" s="54"/>
      <c r="P51" s="54"/>
      <c r="Q51" s="54"/>
      <c r="R51" s="54"/>
      <c r="S51" s="87" t="s">
        <v>192</v>
      </c>
      <c r="T51" s="88"/>
      <c r="U51" s="89"/>
    </row>
    <row r="52" spans="2:21" x14ac:dyDescent="0.25">
      <c r="B52" s="53"/>
      <c r="C52" s="54"/>
      <c r="D52" s="54"/>
      <c r="E52" s="54"/>
      <c r="F52" s="54"/>
      <c r="G52" s="54"/>
      <c r="H52" s="86" t="s">
        <v>188</v>
      </c>
      <c r="I52" s="86"/>
      <c r="J52" s="59">
        <f>MAX(Fluxo_Diário_DB!L16:W16)</f>
        <v>70.4165165</v>
      </c>
      <c r="M52" s="53"/>
      <c r="N52" s="54"/>
      <c r="O52" s="54"/>
      <c r="P52" s="54"/>
      <c r="Q52" s="54"/>
      <c r="R52" s="54"/>
      <c r="S52" s="86" t="s">
        <v>188</v>
      </c>
      <c r="T52" s="86"/>
      <c r="U52" s="61">
        <f>AVERAGE(Fluxo_Diário_DB!L31:W31)</f>
        <v>14.096191213336445</v>
      </c>
    </row>
    <row r="53" spans="2:21" x14ac:dyDescent="0.25">
      <c r="B53" s="53"/>
      <c r="C53" s="54"/>
      <c r="D53" s="54"/>
      <c r="E53" s="54"/>
      <c r="F53" s="54"/>
      <c r="G53" s="54"/>
      <c r="H53" s="86" t="s">
        <v>189</v>
      </c>
      <c r="I53" s="86"/>
      <c r="J53" s="59">
        <f>MAX(Fluxo_Diário_DB!L18:W18)</f>
        <v>23.558</v>
      </c>
      <c r="M53" s="53"/>
      <c r="N53" s="54"/>
      <c r="O53" s="54"/>
      <c r="P53" s="54"/>
      <c r="Q53" s="54"/>
      <c r="R53" s="54"/>
      <c r="S53" s="86" t="s">
        <v>189</v>
      </c>
      <c r="T53" s="86"/>
      <c r="U53" s="61">
        <f>AVERAGE(Fluxo_Diário_DB!L33:W33)</f>
        <v>12.341312532732108</v>
      </c>
    </row>
    <row r="54" spans="2:21" x14ac:dyDescent="0.25">
      <c r="B54" s="55"/>
      <c r="C54" s="56"/>
      <c r="D54" s="56"/>
      <c r="E54" s="56"/>
      <c r="F54" s="56"/>
      <c r="G54" s="56"/>
      <c r="H54" s="86" t="s">
        <v>190</v>
      </c>
      <c r="I54" s="86"/>
      <c r="J54" s="60">
        <f>J53/J52</f>
        <v>0.33455219273733883</v>
      </c>
      <c r="M54" s="55"/>
      <c r="N54" s="56"/>
      <c r="O54" s="56"/>
      <c r="P54" s="56"/>
      <c r="Q54" s="56"/>
      <c r="R54" s="56"/>
      <c r="S54" s="86" t="s">
        <v>190</v>
      </c>
      <c r="T54" s="86"/>
      <c r="U54" s="60">
        <f>U53/U52</f>
        <v>0.87550689019144112</v>
      </c>
    </row>
  </sheetData>
  <mergeCells count="50">
    <mergeCell ref="H53:I53"/>
    <mergeCell ref="H54:I54"/>
    <mergeCell ref="I3:J3"/>
    <mergeCell ref="H37:I37"/>
    <mergeCell ref="H38:I38"/>
    <mergeCell ref="H39:J39"/>
    <mergeCell ref="H45:J45"/>
    <mergeCell ref="H51:J51"/>
    <mergeCell ref="H52:I52"/>
    <mergeCell ref="H21:I21"/>
    <mergeCell ref="H22:I22"/>
    <mergeCell ref="H23:J23"/>
    <mergeCell ref="H29:J29"/>
    <mergeCell ref="H35:J35"/>
    <mergeCell ref="H36:I36"/>
    <mergeCell ref="H24:J28"/>
    <mergeCell ref="I2:J2"/>
    <mergeCell ref="H7:J7"/>
    <mergeCell ref="H13:J13"/>
    <mergeCell ref="H19:J19"/>
    <mergeCell ref="H20:I20"/>
    <mergeCell ref="H8:J12"/>
    <mergeCell ref="H14:J18"/>
    <mergeCell ref="S7:U7"/>
    <mergeCell ref="S13:U13"/>
    <mergeCell ref="S19:U19"/>
    <mergeCell ref="S20:T20"/>
    <mergeCell ref="S21:T21"/>
    <mergeCell ref="S8:U12"/>
    <mergeCell ref="S14:U18"/>
    <mergeCell ref="S22:T22"/>
    <mergeCell ref="S24:U24"/>
    <mergeCell ref="S30:U30"/>
    <mergeCell ref="S35:U35"/>
    <mergeCell ref="S36:T36"/>
    <mergeCell ref="S52:T52"/>
    <mergeCell ref="S53:T53"/>
    <mergeCell ref="S54:T54"/>
    <mergeCell ref="S37:T37"/>
    <mergeCell ref="S38:T38"/>
    <mergeCell ref="S40:U40"/>
    <mergeCell ref="S46:U46"/>
    <mergeCell ref="S51:U51"/>
    <mergeCell ref="H30:J34"/>
    <mergeCell ref="H40:J44"/>
    <mergeCell ref="H46:J50"/>
    <mergeCell ref="S41:U45"/>
    <mergeCell ref="S25:U29"/>
    <mergeCell ref="S31:U34"/>
    <mergeCell ref="S47:U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Plano de Contas</vt:lpstr>
      <vt:lpstr>Premissas</vt:lpstr>
      <vt:lpstr>Receitas</vt:lpstr>
      <vt:lpstr>Fluxo_Projetado</vt:lpstr>
      <vt:lpstr>Fluxo_Diário</vt:lpstr>
      <vt:lpstr>Fluxo_Diário_DB</vt:lpstr>
      <vt:lpstr>Fluxo_Realizado</vt:lpstr>
      <vt:lpstr>Relatório_RealxProj</vt:lpstr>
      <vt:lpstr>Relatório_RealxProj!Area_de_impressao</vt:lpstr>
      <vt:lpstr>Contas</vt:lpstr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Carlos Alberto (Bip)</dc:creator>
  <cp:lastModifiedBy>Carlos Alves</cp:lastModifiedBy>
  <cp:lastPrinted>2020-06-07T21:26:15Z</cp:lastPrinted>
  <dcterms:created xsi:type="dcterms:W3CDTF">2020-02-24T23:15:18Z</dcterms:created>
  <dcterms:modified xsi:type="dcterms:W3CDTF">2020-07-26T00:50:15Z</dcterms:modified>
</cp:coreProperties>
</file>